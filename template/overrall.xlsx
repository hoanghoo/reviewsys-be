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23250" windowHeight="12450" tabRatio="943" activeTab="12"/>
  </bookViews>
  <sheets>
    <sheet name="KPI_Thang1" sheetId="1" r:id="rId1"/>
    <sheet name="KPI_Thang2" sheetId="3" r:id="rId2"/>
    <sheet name="KPI_Thang3" sheetId="4" r:id="rId3"/>
    <sheet name="KPI_Thang4" sheetId="5" r:id="rId4"/>
    <sheet name="KPI_Thang5" sheetId="6" r:id="rId5"/>
    <sheet name="KPI_Thang6" sheetId="7" r:id="rId6"/>
    <sheet name="KPI_Thang7" sheetId="8" r:id="rId7"/>
    <sheet name="KPI_Thang8" sheetId="9" r:id="rId8"/>
    <sheet name="KPI_Thang9" sheetId="10" r:id="rId9"/>
    <sheet name="KPI_Thang10" sheetId="11" r:id="rId10"/>
    <sheet name="KPI_Thang11" sheetId="12" r:id="rId11"/>
    <sheet name="KPI_Thang12" sheetId="13" r:id="rId12"/>
    <sheet name="năm" sheetId="2" r:id="rId1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O7" i="2" s="1"/>
  <c r="P7" i="2" s="1"/>
  <c r="D7" i="2"/>
  <c r="E7" i="2"/>
  <c r="F7" i="2"/>
  <c r="G7" i="2"/>
  <c r="H7" i="2"/>
  <c r="I7" i="2"/>
  <c r="J7" i="2"/>
  <c r="K7" i="2"/>
  <c r="L7" i="2"/>
  <c r="M7" i="2"/>
  <c r="N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 s="1"/>
  <c r="C9" i="2"/>
  <c r="D9" i="2"/>
  <c r="E9" i="2"/>
  <c r="F9" i="2"/>
  <c r="G9" i="2"/>
  <c r="H9" i="2"/>
  <c r="I9" i="2"/>
  <c r="J9" i="2"/>
  <c r="K9" i="2"/>
  <c r="L9" i="2"/>
  <c r="M9" i="2"/>
  <c r="N9" i="2"/>
  <c r="C10" i="2"/>
  <c r="D10" i="2"/>
  <c r="E10" i="2"/>
  <c r="F10" i="2"/>
  <c r="G10" i="2"/>
  <c r="H10" i="2"/>
  <c r="I10" i="2"/>
  <c r="J10" i="2"/>
  <c r="K10" i="2"/>
  <c r="L10" i="2"/>
  <c r="M10" i="2"/>
  <c r="B7" i="2"/>
  <c r="B8" i="2"/>
  <c r="B9" i="2"/>
  <c r="B10" i="2"/>
  <c r="O9" i="2" l="1"/>
  <c r="P9" i="2" s="1"/>
  <c r="N6" i="2"/>
  <c r="M6" i="2"/>
  <c r="L6" i="2"/>
  <c r="K6" i="2"/>
  <c r="J6" i="2"/>
  <c r="I6" i="2"/>
  <c r="H6" i="2"/>
  <c r="G6" i="2"/>
  <c r="F6" i="2"/>
  <c r="E6" i="2"/>
  <c r="D6" i="2"/>
  <c r="C6" i="2"/>
  <c r="B6" i="2"/>
  <c r="H10" i="13"/>
  <c r="E9" i="13"/>
  <c r="H9" i="13" s="1"/>
  <c r="I9" i="13" s="1"/>
  <c r="E8" i="13"/>
  <c r="H8" i="13" s="1"/>
  <c r="I8" i="13" s="1"/>
  <c r="E7" i="13"/>
  <c r="H7" i="13" s="1"/>
  <c r="I7" i="13" s="1"/>
  <c r="E6" i="13"/>
  <c r="H6" i="13" s="1"/>
  <c r="I6" i="13" s="1"/>
  <c r="E10" i="12"/>
  <c r="H10" i="12" s="1"/>
  <c r="I10" i="12" s="1"/>
  <c r="E9" i="12"/>
  <c r="H9" i="12" s="1"/>
  <c r="I9" i="12" s="1"/>
  <c r="E8" i="12"/>
  <c r="H8" i="12" s="1"/>
  <c r="I8" i="12" s="1"/>
  <c r="E7" i="12"/>
  <c r="H7" i="12" s="1"/>
  <c r="I7" i="12" s="1"/>
  <c r="E6" i="12"/>
  <c r="H6" i="12" s="1"/>
  <c r="I6" i="12" s="1"/>
  <c r="E10" i="11"/>
  <c r="H10" i="11" s="1"/>
  <c r="I10" i="11" s="1"/>
  <c r="E9" i="11"/>
  <c r="H9" i="11" s="1"/>
  <c r="I9" i="11" s="1"/>
  <c r="E8" i="11"/>
  <c r="H8" i="11" s="1"/>
  <c r="I8" i="11" s="1"/>
  <c r="E7" i="11"/>
  <c r="H7" i="11" s="1"/>
  <c r="I7" i="11" s="1"/>
  <c r="E6" i="11"/>
  <c r="H6" i="11" s="1"/>
  <c r="I6" i="11" s="1"/>
  <c r="E10" i="10"/>
  <c r="H10" i="10" s="1"/>
  <c r="I10" i="10" s="1"/>
  <c r="H9" i="10"/>
  <c r="I9" i="10" s="1"/>
  <c r="E9" i="10"/>
  <c r="E8" i="10"/>
  <c r="H8" i="10" s="1"/>
  <c r="I8" i="10" s="1"/>
  <c r="E7" i="10"/>
  <c r="H7" i="10" s="1"/>
  <c r="I7" i="10" s="1"/>
  <c r="E6" i="10"/>
  <c r="H6" i="10" s="1"/>
  <c r="I6" i="10" s="1"/>
  <c r="E10" i="9"/>
  <c r="H10" i="9" s="1"/>
  <c r="I10" i="9" s="1"/>
  <c r="E9" i="9"/>
  <c r="H9" i="9" s="1"/>
  <c r="I9" i="9" s="1"/>
  <c r="E8" i="9"/>
  <c r="H8" i="9" s="1"/>
  <c r="I8" i="9" s="1"/>
  <c r="E7" i="9"/>
  <c r="H7" i="9" s="1"/>
  <c r="I7" i="9" s="1"/>
  <c r="E6" i="9"/>
  <c r="H6" i="9" s="1"/>
  <c r="I6" i="9" s="1"/>
  <c r="E10" i="8"/>
  <c r="H10" i="8" s="1"/>
  <c r="I10" i="8" s="1"/>
  <c r="E9" i="8"/>
  <c r="H9" i="8" s="1"/>
  <c r="I9" i="8" s="1"/>
  <c r="E8" i="8"/>
  <c r="H8" i="8" s="1"/>
  <c r="I8" i="8" s="1"/>
  <c r="E7" i="8"/>
  <c r="H7" i="8" s="1"/>
  <c r="I7" i="8" s="1"/>
  <c r="E6" i="8"/>
  <c r="H6" i="8" s="1"/>
  <c r="I6" i="8" s="1"/>
  <c r="E10" i="7"/>
  <c r="H10" i="7" s="1"/>
  <c r="I10" i="7" s="1"/>
  <c r="E9" i="7"/>
  <c r="H9" i="7" s="1"/>
  <c r="I9" i="7" s="1"/>
  <c r="E8" i="7"/>
  <c r="H8" i="7" s="1"/>
  <c r="I8" i="7" s="1"/>
  <c r="E7" i="7"/>
  <c r="H7" i="7" s="1"/>
  <c r="I7" i="7" s="1"/>
  <c r="E6" i="7"/>
  <c r="H6" i="7" s="1"/>
  <c r="I6" i="7" s="1"/>
  <c r="H10" i="6"/>
  <c r="I10" i="6" s="1"/>
  <c r="E10" i="6"/>
  <c r="E9" i="6"/>
  <c r="H9" i="6" s="1"/>
  <c r="I9" i="6" s="1"/>
  <c r="E8" i="6"/>
  <c r="H8" i="6" s="1"/>
  <c r="I8" i="6" s="1"/>
  <c r="E7" i="6"/>
  <c r="H7" i="6" s="1"/>
  <c r="I7" i="6" s="1"/>
  <c r="E6" i="6"/>
  <c r="H6" i="6" s="1"/>
  <c r="I6" i="6" s="1"/>
  <c r="E10" i="5"/>
  <c r="H10" i="5" s="1"/>
  <c r="I10" i="5" s="1"/>
  <c r="E9" i="5"/>
  <c r="H9" i="5" s="1"/>
  <c r="I9" i="5" s="1"/>
  <c r="E8" i="5"/>
  <c r="H8" i="5" s="1"/>
  <c r="I8" i="5" s="1"/>
  <c r="E7" i="5"/>
  <c r="H7" i="5" s="1"/>
  <c r="I7" i="5" s="1"/>
  <c r="E6" i="5"/>
  <c r="H6" i="5" s="1"/>
  <c r="I6" i="5" s="1"/>
  <c r="H10" i="4"/>
  <c r="I10" i="4" s="1"/>
  <c r="E10" i="4"/>
  <c r="E9" i="4"/>
  <c r="H9" i="4" s="1"/>
  <c r="I9" i="4" s="1"/>
  <c r="E8" i="4"/>
  <c r="H8" i="4" s="1"/>
  <c r="I8" i="4" s="1"/>
  <c r="E7" i="4"/>
  <c r="H7" i="4" s="1"/>
  <c r="I7" i="4" s="1"/>
  <c r="E6" i="4"/>
  <c r="H6" i="4" s="1"/>
  <c r="I6" i="4" s="1"/>
  <c r="E10" i="3"/>
  <c r="H10" i="3" s="1"/>
  <c r="I10" i="3" s="1"/>
  <c r="E9" i="3"/>
  <c r="H9" i="3" s="1"/>
  <c r="I9" i="3" s="1"/>
  <c r="E8" i="3"/>
  <c r="H8" i="3" s="1"/>
  <c r="I8" i="3" s="1"/>
  <c r="E7" i="3"/>
  <c r="H7" i="3" s="1"/>
  <c r="I7" i="3" s="1"/>
  <c r="E6" i="3"/>
  <c r="H6" i="3" s="1"/>
  <c r="I6" i="3" s="1"/>
  <c r="I7" i="1"/>
  <c r="I8" i="1"/>
  <c r="I9" i="1"/>
  <c r="I10" i="1"/>
  <c r="I10" i="13" l="1"/>
  <c r="N10" i="2"/>
  <c r="O10" i="2" s="1"/>
  <c r="P10" i="2" s="1"/>
  <c r="E10" i="1"/>
  <c r="H10" i="1" s="1"/>
  <c r="E7" i="1"/>
  <c r="H7" i="1" s="1"/>
  <c r="E8" i="1"/>
  <c r="H8" i="1" s="1"/>
  <c r="E9" i="1"/>
  <c r="H9" i="1" s="1"/>
  <c r="E6" i="1"/>
  <c r="H6" i="1" s="1"/>
  <c r="I6" i="1" s="1"/>
  <c r="O6" i="2" l="1"/>
  <c r="P6" i="2" s="1"/>
</calcChain>
</file>

<file path=xl/sharedStrings.xml><?xml version="1.0" encoding="utf-8"?>
<sst xmlns="http://schemas.openxmlformats.org/spreadsheetml/2006/main" count="275" uniqueCount="37">
  <si>
    <t>Họ và tên</t>
  </si>
  <si>
    <t>Điểm TB Chất lượng</t>
  </si>
  <si>
    <t>Tổng điểm (100)</t>
  </si>
  <si>
    <t>Xếp loại</t>
  </si>
  <si>
    <t>Trần Thị B</t>
  </si>
  <si>
    <t>Tháng 1</t>
  </si>
  <si>
    <t>Tháng 2</t>
  </si>
  <si>
    <t>Tháng 3</t>
  </si>
  <si>
    <t>Tháng 12</t>
  </si>
  <si>
    <t>Điểm TB năm</t>
  </si>
  <si>
    <t>Xếp loại năm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</si>
  <si>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</si>
  <si>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</si>
  <si>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</si>
  <si>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</si>
  <si>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</si>
  <si>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</si>
  <si>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</si>
  <si>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</si>
  <si>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Công tác chuyên môn</t>
  </si>
  <si>
    <t>Công tác NVCB</t>
  </si>
  <si>
    <t xml:space="preserve">Điểm cộng </t>
  </si>
  <si>
    <t>Điểm trừ</t>
  </si>
  <si>
    <t>STT</t>
  </si>
  <si>
    <t>Nguyễn Văn A</t>
  </si>
  <si>
    <t>Đặng Tiến C</t>
  </si>
  <si>
    <t>Lê Văn D</t>
  </si>
  <si>
    <t>ABC</t>
  </si>
  <si>
    <t>PHÒNG PA05</t>
  </si>
  <si>
    <t>ĐỘI ……….</t>
  </si>
  <si>
    <t>BẢNG TỔNG HỢP KẾT QUẢ CHẤM ĐIỂM</t>
  </si>
  <si>
    <t>THỰC HIỆN NHIỆM VỤ THEO KPI CỦA CBCS THÁNG ………</t>
  </si>
  <si>
    <t>LÃNH ĐẠO PHÒNG</t>
  </si>
  <si>
    <t>ĐỘI TRƯỞNG</t>
  </si>
  <si>
    <t>(Ký, ghi rõ họ tên)</t>
  </si>
  <si>
    <t>THỰC HIỆN NHIỆM VỤ CỦA CBCS NĂM…..</t>
  </si>
  <si>
    <t>THỰC HIỆN NHIỆM VỤ CỦA CBCS THÁNG .….. NĂM ……...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</si>
</sst>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i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3" name="Straight Connector 2"/>
        <xdr:cNvCxnSpPr/>
      </xdr:nvCxnSpPr>
      <xdr:spPr>
        <a:xfrm>
          <a:off x="515471" y="504265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8" name="Straight Connector 7"/>
        <xdr:cNvCxnSpPr/>
      </xdr:nvCxnSpPr>
      <xdr:spPr>
        <a:xfrm flipV="1">
          <a:off x="4211947" y="511087"/>
          <a:ext cx="2356160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4" name="Straight Connector 3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5" name="Straight Connector 4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4" name="Straight Connector 3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5" name="Straight Connector 4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2" name="Straight Connector 1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724969</xdr:colOff>
      <xdr:row>2</xdr:row>
      <xdr:rowOff>30696</xdr:rowOff>
    </xdr:from>
    <xdr:to>
      <xdr:col>7</xdr:col>
      <xdr:colOff>554933</xdr:colOff>
      <xdr:row>2</xdr:row>
      <xdr:rowOff>30697</xdr:rowOff>
    </xdr:to>
    <xdr:cxnSp macro="">
      <xdr:nvCxnSpPr>
        <xdr:cNvPr id="3" name="Straight Connector 2"/>
        <xdr:cNvCxnSpPr/>
      </xdr:nvCxnSpPr>
      <xdr:spPr>
        <a:xfrm flipV="1">
          <a:off x="4106344" y="506946"/>
          <a:ext cx="2096914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2</xdr:row>
      <xdr:rowOff>33618</xdr:rowOff>
    </xdr:from>
    <xdr:to>
      <xdr:col>1</xdr:col>
      <xdr:colOff>762000</xdr:colOff>
      <xdr:row>2</xdr:row>
      <xdr:rowOff>33618</xdr:rowOff>
    </xdr:to>
    <xdr:cxnSp macro="">
      <xdr:nvCxnSpPr>
        <xdr:cNvPr id="6" name="Straight Connector 5"/>
        <xdr:cNvCxnSpPr/>
      </xdr:nvCxnSpPr>
      <xdr:spPr>
        <a:xfrm>
          <a:off x="519393" y="509868"/>
          <a:ext cx="72838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437021</xdr:colOff>
      <xdr:row>2</xdr:row>
      <xdr:rowOff>8715</xdr:rowOff>
    </xdr:from>
    <xdr:to>
      <xdr:col>10</xdr:col>
      <xdr:colOff>562259</xdr:colOff>
      <xdr:row>2</xdr:row>
      <xdr:rowOff>8716</xdr:rowOff>
    </xdr:to>
    <xdr:cxnSp macro="">
      <xdr:nvCxnSpPr>
        <xdr:cNvPr id="7" name="Straight Connector 6"/>
        <xdr:cNvCxnSpPr/>
      </xdr:nvCxnSpPr>
      <xdr:spPr>
        <a:xfrm flipV="1">
          <a:off x="5265463" y="492292"/>
          <a:ext cx="1810431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15" zoomScaleNormal="115" workbookViewId="0">
      <selection activeCell="I5" sqref="I5"/>
    </sheetView>
  </sheetViews>
  <sheetFormatPr defaultColWidth="8.85546875" defaultRowHeight="18.75" x14ac:dyDescent="0.3"/>
  <cols>
    <col min="1" max="1" width="7.28515625" style="6" customWidth="1"/>
    <col min="2" max="2" width="18.5703125" style="6" customWidth="1"/>
    <col min="3" max="3" width="12" style="6" customWidth="1"/>
    <col min="4" max="4" width="12.85546875" style="6" customWidth="1"/>
    <col min="5" max="5" width="14" style="6" customWidth="1"/>
    <col min="6" max="6" width="11" style="6" customWidth="1"/>
    <col min="7" max="7" width="9" style="6" customWidth="1"/>
    <col min="8" max="8" width="11.28515625" style="6" customWidth="1"/>
    <col min="9" max="9" width="24.140625" style="6" customWidth="1"/>
    <col min="10" max="16384" width="8.85546875" style="6"/>
  </cols>
  <sheetData>
    <row r="1" spans="1:9" x14ac:dyDescent="0.3">
      <c r="A1" s="16" t="s">
        <v>28</v>
      </c>
      <c r="B1" s="1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D2" s="17" t="s">
        <v>36</v>
      </c>
      <c r="E2" s="17"/>
      <c r="F2" s="17"/>
      <c r="G2" s="17"/>
      <c r="H2" s="17"/>
      <c r="I2" s="17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9"/>
      <c r="H11" s="9"/>
      <c r="I11" s="9"/>
    </row>
    <row r="12" spans="1:9" x14ac:dyDescent="0.3">
      <c r="B12" s="17" t="s">
        <v>32</v>
      </c>
      <c r="C12" s="17"/>
      <c r="D12" s="17"/>
      <c r="E12" s="9"/>
      <c r="G12" s="17" t="s">
        <v>33</v>
      </c>
      <c r="H12" s="17"/>
      <c r="I12" s="17"/>
    </row>
    <row r="13" spans="1:9" x14ac:dyDescent="0.3">
      <c r="E13" s="9"/>
      <c r="G13" s="15" t="s">
        <v>34</v>
      </c>
      <c r="H13" s="16"/>
      <c r="I13" s="16"/>
    </row>
    <row r="14" spans="1:9" x14ac:dyDescent="0.3">
      <c r="E14" s="9"/>
      <c r="H14" s="9"/>
      <c r="I14" s="9"/>
    </row>
    <row r="15" spans="1:9" x14ac:dyDescent="0.3">
      <c r="E15" s="9"/>
      <c r="H15" s="9"/>
      <c r="I15" s="9"/>
    </row>
    <row r="16" spans="1:9" x14ac:dyDescent="0.3">
      <c r="E16" s="9"/>
    </row>
    <row r="17" spans="5:5" x14ac:dyDescent="0.3">
      <c r="E17" s="9"/>
    </row>
  </sheetData>
  <mergeCells count="7">
    <mergeCell ref="G13:I13"/>
    <mergeCell ref="B12:D12"/>
    <mergeCell ref="A1:B1"/>
    <mergeCell ref="A2:B2"/>
    <mergeCell ref="D1:I1"/>
    <mergeCell ref="D2:I2"/>
    <mergeCell ref="G12:I1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G13" sqref="G13:I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6" style="2" customWidth="1"/>
    <col min="10" max="10" width="25" style="2" customWidth="1"/>
    <col min="11" max="16384" width="8.85546875" style="2"/>
  </cols>
  <sheetData>
    <row r="1" spans="1:10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10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10" x14ac:dyDescent="0.3">
      <c r="A3" s="6"/>
      <c r="B3" s="6"/>
      <c r="C3" s="6"/>
      <c r="D3" s="6"/>
      <c r="E3" s="6"/>
      <c r="F3" s="6"/>
      <c r="G3" s="6"/>
      <c r="H3" s="6"/>
      <c r="I3" s="6"/>
    </row>
    <row r="4" spans="1:10" x14ac:dyDescent="0.3">
      <c r="A4" s="6"/>
      <c r="B4" s="6"/>
      <c r="C4" s="6"/>
      <c r="D4" s="6"/>
      <c r="E4" s="6"/>
      <c r="F4" s="6"/>
      <c r="G4" s="6"/>
      <c r="H4" s="6"/>
      <c r="I4" s="6"/>
    </row>
    <row r="5" spans="1:10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  <c r="J5" s="1"/>
    </row>
    <row r="6" spans="1:10" x14ac:dyDescent="0.3">
      <c r="A6" s="10">
        <v>1</v>
      </c>
      <c r="B6" s="8" t="s">
        <v>24</v>
      </c>
      <c r="C6" s="11">
        <v>80</v>
      </c>
      <c r="D6" s="11">
        <v>70</v>
      </c>
      <c r="E6" s="11">
        <f>AVERAGE(C6:D6)</f>
        <v>75</v>
      </c>
      <c r="F6" s="11">
        <v>0</v>
      </c>
      <c r="G6" s="11">
        <v>3</v>
      </c>
      <c r="H6" s="11">
        <f>ROUND(E6 +F6 - G6,2)</f>
        <v>72</v>
      </c>
      <c r="I6" s="11" t="str">
        <f>IF(H6&gt;90,"Hoàn thành xuất sắc",IF(H6&gt;=75,"Hoàn thành tốt",IF(H6&gt;=60,"Hoàn thành","Không hoàn thành")))</f>
        <v>Hoàn thành</v>
      </c>
      <c r="J6" s="3"/>
    </row>
    <row r="7" spans="1:10" x14ac:dyDescent="0.3">
      <c r="A7" s="10">
        <v>2</v>
      </c>
      <c r="B7" s="8" t="s">
        <v>4</v>
      </c>
      <c r="C7" s="11">
        <v>46</v>
      </c>
      <c r="D7" s="11">
        <v>90</v>
      </c>
      <c r="E7" s="11">
        <f t="shared" ref="E7:E10" si="0">AVERAGE(C7:D7)</f>
        <v>68</v>
      </c>
      <c r="F7" s="11">
        <v>8</v>
      </c>
      <c r="G7" s="11">
        <v>0</v>
      </c>
      <c r="H7" s="11">
        <f t="shared" ref="H7:H10" si="1">ROUND(E7 +F7 - G7,2)</f>
        <v>76</v>
      </c>
      <c r="I7" s="11" t="str">
        <f t="shared" ref="I7:I10" si="2">IF(H7&gt;90,"Hoàn thành xuất sắc",IF(H7&gt;=75,"Hoàn thành tốt",IF(H7&gt;=60,"Hoàn thành","Không hoàn thành")))</f>
        <v>Hoàn thành tốt</v>
      </c>
      <c r="J7" s="3"/>
    </row>
    <row r="8" spans="1:10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5</v>
      </c>
      <c r="G8" s="12">
        <v>0</v>
      </c>
      <c r="H8" s="11">
        <f t="shared" si="1"/>
        <v>95</v>
      </c>
      <c r="I8" s="11" t="str">
        <f t="shared" si="2"/>
        <v>Hoàn thành xuất sắc</v>
      </c>
      <c r="J8" s="3"/>
    </row>
    <row r="9" spans="1:10" x14ac:dyDescent="0.3">
      <c r="A9" s="10">
        <v>4</v>
      </c>
      <c r="B9" s="7" t="s">
        <v>26</v>
      </c>
      <c r="C9" s="12">
        <v>82</v>
      </c>
      <c r="D9" s="12">
        <v>87</v>
      </c>
      <c r="E9" s="11">
        <f t="shared" si="0"/>
        <v>84.5</v>
      </c>
      <c r="F9" s="12">
        <v>2</v>
      </c>
      <c r="G9" s="12">
        <v>3</v>
      </c>
      <c r="H9" s="11">
        <f t="shared" si="1"/>
        <v>83.5</v>
      </c>
      <c r="I9" s="11" t="str">
        <f t="shared" si="2"/>
        <v>Hoàn thành tốt</v>
      </c>
      <c r="J9" s="3"/>
    </row>
    <row r="10" spans="1:10" x14ac:dyDescent="0.3">
      <c r="A10" s="10">
        <v>5</v>
      </c>
      <c r="B10" s="7" t="s">
        <v>27</v>
      </c>
      <c r="C10" s="12">
        <v>70</v>
      </c>
      <c r="D10" s="12">
        <v>75</v>
      </c>
      <c r="E10" s="11">
        <f t="shared" si="0"/>
        <v>72.5</v>
      </c>
      <c r="F10" s="12">
        <v>0</v>
      </c>
      <c r="G10" s="12">
        <v>5</v>
      </c>
      <c r="H10" s="11">
        <f t="shared" si="1"/>
        <v>67.5</v>
      </c>
      <c r="I10" s="11" t="str">
        <f t="shared" si="2"/>
        <v>Hoàn thành</v>
      </c>
      <c r="J10" s="3"/>
    </row>
    <row r="11" spans="1:10" x14ac:dyDescent="0.3">
      <c r="E11" s="3"/>
      <c r="I11" s="3"/>
      <c r="J11" s="3"/>
    </row>
    <row r="12" spans="1:10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10" s="6" customFormat="1" x14ac:dyDescent="0.3">
      <c r="E13" s="9"/>
      <c r="G13" s="15" t="s">
        <v>34</v>
      </c>
      <c r="H13" s="16"/>
      <c r="I13" s="16"/>
    </row>
    <row r="14" spans="1:10" x14ac:dyDescent="0.3">
      <c r="E14" s="3"/>
      <c r="I14" s="3"/>
      <c r="J14" s="3"/>
    </row>
    <row r="15" spans="1:10" x14ac:dyDescent="0.3">
      <c r="E15" s="3"/>
      <c r="I15" s="3"/>
      <c r="J15" s="3"/>
    </row>
    <row r="16" spans="1:10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C12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A12:C12"/>
    <mergeCell ref="G12:I12"/>
    <mergeCell ref="G13:I13"/>
    <mergeCell ref="A1:B1"/>
    <mergeCell ref="D1:I1"/>
    <mergeCell ref="A2:B2"/>
    <mergeCell ref="D2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A12:C12"/>
    <mergeCell ref="G12:I12"/>
    <mergeCell ref="G13:I13"/>
    <mergeCell ref="A1:B1"/>
    <mergeCell ref="D1:I1"/>
    <mergeCell ref="A2:B2"/>
    <mergeCell ref="D2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A12" sqref="A12:XFD13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B16" sqref="B16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f t="shared" si="0"/>
        <v>75</v>
      </c>
      <c r="F10" s="12">
        <v>0</v>
      </c>
      <c r="G10" s="12">
        <v>3</v>
      </c>
      <c r="H10" s="11">
        <f t="shared" si="1"/>
        <v>72</v>
      </c>
      <c r="I10" s="11" t="str">
        <f t="shared" si="2"/>
        <v>Hoàn thành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70" zoomScaleNormal="70" workbookViewId="0">
      <selection activeCell="E11" sqref="E11"/>
    </sheetView>
  </sheetViews>
  <sheetFormatPr defaultColWidth="8.85546875" defaultRowHeight="18.75" x14ac:dyDescent="0.3"/>
  <cols>
    <col min="1" max="1" width="8.85546875" style="2"/>
    <col min="2" max="2" width="23.42578125" style="2" customWidth="1"/>
    <col min="3" max="3" width="12" style="2" customWidth="1"/>
    <col min="4" max="5" width="8.85546875" style="2"/>
    <col min="6" max="6" width="23.7109375" style="2" customWidth="1"/>
    <col min="7" max="7" width="14.28515625" style="2" customWidth="1"/>
    <col min="8" max="8" width="17.140625" style="2" customWidth="1"/>
    <col min="9" max="9" width="20.5703125" style="2" customWidth="1"/>
    <col min="10" max="16384" width="8.85546875" style="2"/>
  </cols>
  <sheetData>
    <row r="1" spans="1:9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</row>
    <row r="2" spans="1:9" x14ac:dyDescent="0.3">
      <c r="A2" s="17" t="s">
        <v>29</v>
      </c>
      <c r="B2" s="17"/>
      <c r="C2" s="6"/>
      <c r="D2" s="17" t="s">
        <v>31</v>
      </c>
      <c r="E2" s="17"/>
      <c r="F2" s="17"/>
      <c r="G2" s="17"/>
      <c r="H2" s="17"/>
      <c r="I2" s="17"/>
    </row>
    <row r="3" spans="1:9" x14ac:dyDescent="0.3">
      <c r="A3" s="6"/>
      <c r="B3" s="6"/>
      <c r="C3" s="6"/>
      <c r="D3" s="6"/>
      <c r="E3" s="6"/>
      <c r="F3" s="6"/>
      <c r="G3" s="6"/>
      <c r="H3" s="6"/>
      <c r="I3" s="6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  <row r="5" spans="1:9" ht="75" x14ac:dyDescent="0.3">
      <c r="A5" s="4" t="s">
        <v>23</v>
      </c>
      <c r="B5" s="5" t="s">
        <v>0</v>
      </c>
      <c r="C5" s="5" t="s">
        <v>19</v>
      </c>
      <c r="D5" s="5" t="s">
        <v>20</v>
      </c>
      <c r="E5" s="5" t="s">
        <v>1</v>
      </c>
      <c r="F5" s="5" t="s">
        <v>21</v>
      </c>
      <c r="G5" s="5" t="s">
        <v>22</v>
      </c>
      <c r="H5" s="5" t="s">
        <v>2</v>
      </c>
      <c r="I5" s="5" t="s">
        <v>3</v>
      </c>
    </row>
    <row r="6" spans="1:9" ht="37.5" x14ac:dyDescent="0.3">
      <c r="A6" s="10">
        <v>1</v>
      </c>
      <c r="B6" s="8" t="s">
        <v>24</v>
      </c>
      <c r="C6" s="11">
        <v>90</v>
      </c>
      <c r="D6" s="11">
        <v>90</v>
      </c>
      <c r="E6" s="11">
        <f>AVERAGE(C6:D6)</f>
        <v>90</v>
      </c>
      <c r="F6" s="11">
        <v>5</v>
      </c>
      <c r="G6" s="11">
        <v>3</v>
      </c>
      <c r="H6" s="11">
        <f>ROUND(E6 +F6 - G6,2)</f>
        <v>92</v>
      </c>
      <c r="I6" s="11" t="str">
        <f>IF(H6&gt;90,"Hoàn thành xuất sắc",IF(H6&gt;=75,"Hoàn thành tốt",IF(H6&gt;=60,"Hoàn thành","Không hoàn thành")))</f>
        <v>Hoàn thành xuất sắc</v>
      </c>
    </row>
    <row r="7" spans="1:9" x14ac:dyDescent="0.3">
      <c r="A7" s="10">
        <v>2</v>
      </c>
      <c r="B7" s="8" t="s">
        <v>4</v>
      </c>
      <c r="C7" s="11">
        <v>40</v>
      </c>
      <c r="D7" s="11">
        <v>80</v>
      </c>
      <c r="E7" s="11">
        <f t="shared" ref="E7:E10" si="0">AVERAGE(C7:D7)</f>
        <v>60</v>
      </c>
      <c r="F7" s="11">
        <v>3</v>
      </c>
      <c r="G7" s="11">
        <v>3</v>
      </c>
      <c r="H7" s="11">
        <f t="shared" ref="H7:H10" si="1">ROUND(E7 +F7 - G7,2)</f>
        <v>60</v>
      </c>
      <c r="I7" s="11" t="str">
        <f t="shared" ref="I7:I10" si="2">IF(H7&gt;90,"Hoàn thành xuất sắc",IF(H7&gt;=75,"Hoàn thành tốt",IF(H7&gt;=60,"Hoàn thành","Không hoàn thành")))</f>
        <v>Hoàn thành</v>
      </c>
    </row>
    <row r="8" spans="1:9" x14ac:dyDescent="0.3">
      <c r="A8" s="10">
        <v>3</v>
      </c>
      <c r="B8" s="7" t="s">
        <v>25</v>
      </c>
      <c r="C8" s="12">
        <v>90</v>
      </c>
      <c r="D8" s="12">
        <v>90</v>
      </c>
      <c r="E8" s="11">
        <f t="shared" si="0"/>
        <v>90</v>
      </c>
      <c r="F8" s="12">
        <v>0</v>
      </c>
      <c r="G8" s="12">
        <v>0</v>
      </c>
      <c r="H8" s="11">
        <f t="shared" si="1"/>
        <v>90</v>
      </c>
      <c r="I8" s="11" t="str">
        <f t="shared" si="2"/>
        <v>Hoàn thành tốt</v>
      </c>
    </row>
    <row r="9" spans="1:9" x14ac:dyDescent="0.3">
      <c r="A9" s="10">
        <v>4</v>
      </c>
      <c r="B9" s="7" t="s">
        <v>26</v>
      </c>
      <c r="C9" s="12">
        <v>80</v>
      </c>
      <c r="D9" s="12">
        <v>80</v>
      </c>
      <c r="E9" s="11">
        <f t="shared" si="0"/>
        <v>80</v>
      </c>
      <c r="F9" s="12">
        <v>0</v>
      </c>
      <c r="G9" s="12">
        <v>0</v>
      </c>
      <c r="H9" s="11">
        <f t="shared" si="1"/>
        <v>80</v>
      </c>
      <c r="I9" s="11" t="str">
        <f t="shared" si="2"/>
        <v>Hoàn thành tốt</v>
      </c>
    </row>
    <row r="10" spans="1:9" x14ac:dyDescent="0.3">
      <c r="A10" s="10">
        <v>5</v>
      </c>
      <c r="B10" s="7" t="s">
        <v>27</v>
      </c>
      <c r="C10" s="12">
        <v>70</v>
      </c>
      <c r="D10" s="12">
        <v>80</v>
      </c>
      <c r="E10" s="11">
        <v>90</v>
      </c>
      <c r="F10" s="12">
        <v>0</v>
      </c>
      <c r="G10" s="12">
        <v>3</v>
      </c>
      <c r="H10" s="11">
        <f t="shared" si="1"/>
        <v>87</v>
      </c>
      <c r="I10" s="11" t="str">
        <f t="shared" si="2"/>
        <v>Hoàn thành tốt</v>
      </c>
    </row>
    <row r="11" spans="1:9" x14ac:dyDescent="0.3">
      <c r="E11" s="3"/>
      <c r="I11" s="3"/>
    </row>
    <row r="12" spans="1:9" s="6" customFormat="1" x14ac:dyDescent="0.3">
      <c r="A12" s="17" t="s">
        <v>32</v>
      </c>
      <c r="B12" s="17"/>
      <c r="C12" s="17"/>
      <c r="E12" s="9"/>
      <c r="G12" s="17" t="s">
        <v>33</v>
      </c>
      <c r="H12" s="17"/>
      <c r="I12" s="17"/>
    </row>
    <row r="13" spans="1:9" s="6" customFormat="1" x14ac:dyDescent="0.3">
      <c r="E13" s="9"/>
      <c r="G13" s="15" t="s">
        <v>34</v>
      </c>
      <c r="H13" s="16"/>
      <c r="I13" s="16"/>
    </row>
    <row r="14" spans="1:9" x14ac:dyDescent="0.3">
      <c r="E14" s="3"/>
      <c r="I14" s="3"/>
    </row>
    <row r="15" spans="1:9" x14ac:dyDescent="0.3">
      <c r="E15" s="3"/>
      <c r="I15" s="3"/>
    </row>
    <row r="16" spans="1:9" x14ac:dyDescent="0.3">
      <c r="E16" s="3"/>
    </row>
    <row r="17" spans="5:5" x14ac:dyDescent="0.3">
      <c r="E17" s="3"/>
    </row>
  </sheetData>
  <mergeCells count="7">
    <mergeCell ref="G13:I13"/>
    <mergeCell ref="A1:B1"/>
    <mergeCell ref="D1:I1"/>
    <mergeCell ref="A2:B2"/>
    <mergeCell ref="D2:I2"/>
    <mergeCell ref="A12:C12"/>
    <mergeCell ref="G12:I1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zoomScale="85" zoomScaleNormal="85" workbookViewId="0">
      <selection activeCell="L13" sqref="L13:P13"/>
    </sheetView>
  </sheetViews>
  <sheetFormatPr defaultColWidth="8.85546875" defaultRowHeight="15" x14ac:dyDescent="0.25"/>
  <cols>
    <col min="1" max="1" width="6.140625" style="13" customWidth="1"/>
    <col min="2" max="2" width="19" style="13" customWidth="1"/>
    <col min="3" max="14" width="8.7109375" style="13" customWidth="1"/>
    <col min="15" max="15" width="10" style="13" customWidth="1"/>
    <col min="16" max="16" width="22" style="13" customWidth="1"/>
    <col min="17" max="16384" width="8.85546875" style="13"/>
  </cols>
  <sheetData>
    <row r="1" spans="1:16" ht="18.75" customHeight="1" x14ac:dyDescent="0.3">
      <c r="A1" s="16" t="s">
        <v>28</v>
      </c>
      <c r="B1" s="16"/>
      <c r="C1" s="6"/>
      <c r="D1" s="17" t="s">
        <v>30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6" ht="18.75" x14ac:dyDescent="0.3">
      <c r="A2" s="17" t="s">
        <v>29</v>
      </c>
      <c r="B2" s="17"/>
      <c r="C2" s="6"/>
      <c r="D2" s="18" t="s">
        <v>35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6" ht="18.75" x14ac:dyDescent="0.3">
      <c r="A3" s="6"/>
      <c r="B3" s="6"/>
      <c r="C3" s="6"/>
      <c r="D3" s="6"/>
      <c r="E3" s="6"/>
      <c r="F3" s="6"/>
      <c r="G3" s="6"/>
      <c r="H3" s="6"/>
      <c r="I3" s="6"/>
    </row>
    <row r="4" spans="1:16" ht="18.75" x14ac:dyDescent="0.3">
      <c r="A4" s="6"/>
      <c r="B4" s="6"/>
      <c r="C4" s="6"/>
      <c r="D4" s="6"/>
      <c r="E4" s="6"/>
      <c r="F4" s="6"/>
      <c r="G4" s="6"/>
      <c r="H4" s="6"/>
      <c r="I4" s="6"/>
    </row>
    <row r="5" spans="1:16" ht="39.75" customHeight="1" x14ac:dyDescent="0.25">
      <c r="A5" s="14" t="s">
        <v>23</v>
      </c>
      <c r="B5" s="5" t="s">
        <v>0</v>
      </c>
      <c r="C5" s="5" t="s">
        <v>5</v>
      </c>
      <c r="D5" s="5" t="s">
        <v>6</v>
      </c>
      <c r="E5" s="5" t="s">
        <v>7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8</v>
      </c>
      <c r="O5" s="5" t="s">
        <v>9</v>
      </c>
      <c r="P5" s="5" t="s">
        <v>10</v>
      </c>
    </row>
    <row r="6" spans="1:16" ht="31.5" customHeight="1" x14ac:dyDescent="0.25">
      <c r="A6" s="10">
        <v>1</v>
      </c>
      <c r="B6" s="8" t="str">
        <f>INDEX(KPI_Thang1!$B:$B, ROW(A6))</f>
        <v>Nguyễn Văn A</v>
      </c>
      <c r="C6" s="11">
        <f>INDEX(KPI_Thang1!$H:$H, ROW(A6))</f>
        <v>92</v>
      </c>
      <c r="D6" s="11">
        <f>INDEX(KPI_Thang2!$H:$H, ROW(A6))</f>
        <v>72</v>
      </c>
      <c r="E6" s="11">
        <f>INDEX(KPI_Thang3!$H:$H, ROW(A6))</f>
        <v>92</v>
      </c>
      <c r="F6" s="11">
        <f>INDEX(KPI_Thang4!$H:$H, ROW(A6))</f>
        <v>92</v>
      </c>
      <c r="G6" s="11">
        <f>INDEX(KPI_Thang5!$H:$H, ROW(A6))</f>
        <v>92</v>
      </c>
      <c r="H6" s="11">
        <f>INDEX(KPI_Thang6!$H:$H, ROW(A6))</f>
        <v>92</v>
      </c>
      <c r="I6" s="11">
        <f>INDEX(KPI_Thang7!$H:$H, ROW(A6))</f>
        <v>92</v>
      </c>
      <c r="J6" s="11">
        <f>INDEX(KPI_Thang8!$H:$H, ROW(A6))</f>
        <v>92</v>
      </c>
      <c r="K6" s="11">
        <f>INDEX(KPI_Thang9!$H:$H, ROW(A6))</f>
        <v>92</v>
      </c>
      <c r="L6" s="11">
        <f>INDEX(KPI_Thang10!$H:$H, ROW(A6))</f>
        <v>92</v>
      </c>
      <c r="M6" s="11">
        <f>INDEX(KPI_Thang11!$H:$H, ROW(A6))</f>
        <v>92</v>
      </c>
      <c r="N6" s="11">
        <f>INDEX(KPI_Thang12!$H:$H, ROW(A6))</f>
        <v>92</v>
      </c>
      <c r="O6" s="11">
        <f>ROUND(AVERAGE(C6:N6),2)</f>
        <v>90.33</v>
      </c>
      <c r="P6" s="11" t="str">
        <f>IF(O6&gt;90,"Xuất sắc",IF(O6&gt;=75,"Tốt",IF(O6&gt;=60,"Hoàn Thành","Không Hoàn Thành")))</f>
        <v>Xuất sắc</v>
      </c>
    </row>
    <row r="7" spans="1:16" ht="31.5" customHeight="1" x14ac:dyDescent="0.25">
      <c r="A7" s="10">
        <v>2</v>
      </c>
      <c r="B7" s="8" t="str">
        <f>INDEX(KPI_Thang1!$B:$B, ROW(A7))</f>
        <v>Trần Thị B</v>
      </c>
      <c r="C7" s="11">
        <f>INDEX(KPI_Thang1!$H:$H, ROW(A7))</f>
        <v>60</v>
      </c>
      <c r="D7" s="11">
        <f>INDEX(KPI_Thang2!$H:$H, ROW(A7))</f>
        <v>76</v>
      </c>
      <c r="E7" s="11">
        <f>INDEX(KPI_Thang3!$H:$H, ROW(A7))</f>
        <v>60</v>
      </c>
      <c r="F7" s="11">
        <f>INDEX(KPI_Thang4!$H:$H, ROW(A7))</f>
        <v>60</v>
      </c>
      <c r="G7" s="11">
        <f>INDEX(KPI_Thang5!$H:$H, ROW(A7))</f>
        <v>60</v>
      </c>
      <c r="H7" s="11">
        <f>INDEX(KPI_Thang6!$H:$H, ROW(A7))</f>
        <v>60</v>
      </c>
      <c r="I7" s="11">
        <f>INDEX(KPI_Thang7!$H:$H, ROW(A7))</f>
        <v>60</v>
      </c>
      <c r="J7" s="11">
        <f>INDEX(KPI_Thang8!$H:$H, ROW(A7))</f>
        <v>60</v>
      </c>
      <c r="K7" s="11">
        <f>INDEX(KPI_Thang9!$H:$H, ROW(A7))</f>
        <v>60</v>
      </c>
      <c r="L7" s="11">
        <f>INDEX(KPI_Thang10!$H:$H, ROW(A7))</f>
        <v>60</v>
      </c>
      <c r="M7" s="11">
        <f>INDEX(KPI_Thang11!$H:$H, ROW(A7))</f>
        <v>60</v>
      </c>
      <c r="N7" s="11">
        <f>INDEX(KPI_Thang12!$H:$H, ROW(A7))</f>
        <v>60</v>
      </c>
      <c r="O7" s="11">
        <f t="shared" ref="O7:O10" si="0">ROUND(AVERAGE(C7:N7),2)</f>
        <v>61.33</v>
      </c>
      <c r="P7" s="11" t="str">
        <f t="shared" ref="P7:P10" si="1">IF(O7&gt;90,"Xuất sắc",IF(O7&gt;=75,"Tốt",IF(O7&gt;=60,"Hoàn Thành","Không Hoàn Thành")))</f>
        <v>Hoàn Thành</v>
      </c>
    </row>
    <row r="8" spans="1:16" ht="31.5" customHeight="1" x14ac:dyDescent="0.25">
      <c r="A8" s="10">
        <v>3</v>
      </c>
      <c r="B8" s="8" t="str">
        <f>INDEX(KPI_Thang1!$B:$B, ROW(A8))</f>
        <v>Đặng Tiến C</v>
      </c>
      <c r="C8" s="11">
        <f>INDEX(KPI_Thang1!$H:$H, ROW(A8))</f>
        <v>90</v>
      </c>
      <c r="D8" s="11">
        <f>INDEX(KPI_Thang2!$H:$H, ROW(A8))</f>
        <v>95</v>
      </c>
      <c r="E8" s="11">
        <f>INDEX(KPI_Thang3!$H:$H, ROW(A8))</f>
        <v>90</v>
      </c>
      <c r="F8" s="11">
        <f>INDEX(KPI_Thang4!$H:$H, ROW(A8))</f>
        <v>90</v>
      </c>
      <c r="G8" s="11">
        <f>INDEX(KPI_Thang5!$H:$H, ROW(A8))</f>
        <v>90</v>
      </c>
      <c r="H8" s="11">
        <f>INDEX(KPI_Thang6!$H:$H, ROW(A8))</f>
        <v>90</v>
      </c>
      <c r="I8" s="11">
        <f>INDEX(KPI_Thang7!$H:$H, ROW(A8))</f>
        <v>90</v>
      </c>
      <c r="J8" s="11">
        <f>INDEX(KPI_Thang8!$H:$H, ROW(A8))</f>
        <v>90</v>
      </c>
      <c r="K8" s="11">
        <f>INDEX(KPI_Thang9!$H:$H, ROW(A8))</f>
        <v>90</v>
      </c>
      <c r="L8" s="11">
        <f>INDEX(KPI_Thang10!$H:$H, ROW(A8))</f>
        <v>90</v>
      </c>
      <c r="M8" s="11">
        <f>INDEX(KPI_Thang11!$H:$H, ROW(A8))</f>
        <v>90</v>
      </c>
      <c r="N8" s="11">
        <f>INDEX(KPI_Thang12!$H:$H, ROW(A8))</f>
        <v>90</v>
      </c>
      <c r="O8" s="11">
        <f t="shared" si="0"/>
        <v>90.42</v>
      </c>
      <c r="P8" s="11" t="str">
        <f t="shared" si="1"/>
        <v>Xuất sắc</v>
      </c>
    </row>
    <row r="9" spans="1:16" ht="31.5" customHeight="1" x14ac:dyDescent="0.25">
      <c r="A9" s="10">
        <v>4</v>
      </c>
      <c r="B9" s="8" t="str">
        <f>INDEX(KPI_Thang1!$B:$B, ROW(A9))</f>
        <v>Lê Văn D</v>
      </c>
      <c r="C9" s="11">
        <f>INDEX(KPI_Thang1!$H:$H, ROW(A9))</f>
        <v>80</v>
      </c>
      <c r="D9" s="11">
        <f>INDEX(KPI_Thang2!$H:$H, ROW(A9))</f>
        <v>83.5</v>
      </c>
      <c r="E9" s="11">
        <f>INDEX(KPI_Thang3!$H:$H, ROW(A9))</f>
        <v>80</v>
      </c>
      <c r="F9" s="11">
        <f>INDEX(KPI_Thang4!$H:$H, ROW(A9))</f>
        <v>80</v>
      </c>
      <c r="G9" s="11">
        <f>INDEX(KPI_Thang5!$H:$H, ROW(A9))</f>
        <v>80</v>
      </c>
      <c r="H9" s="11">
        <f>INDEX(KPI_Thang6!$H:$H, ROW(A9))</f>
        <v>80</v>
      </c>
      <c r="I9" s="11">
        <f>INDEX(KPI_Thang7!$H:$H, ROW(A9))</f>
        <v>80</v>
      </c>
      <c r="J9" s="11">
        <f>INDEX(KPI_Thang8!$H:$H, ROW(A9))</f>
        <v>80</v>
      </c>
      <c r="K9" s="11">
        <f>INDEX(KPI_Thang9!$H:$H, ROW(A9))</f>
        <v>80</v>
      </c>
      <c r="L9" s="11">
        <f>INDEX(KPI_Thang10!$H:$H, ROW(A9))</f>
        <v>80</v>
      </c>
      <c r="M9" s="11">
        <f>INDEX(KPI_Thang11!$H:$H, ROW(A9))</f>
        <v>80</v>
      </c>
      <c r="N9" s="11">
        <f>INDEX(KPI_Thang12!$H:$H, ROW(A9))</f>
        <v>80</v>
      </c>
      <c r="O9" s="11">
        <f t="shared" si="0"/>
        <v>80.290000000000006</v>
      </c>
      <c r="P9" s="11" t="str">
        <f t="shared" si="1"/>
        <v>Tốt</v>
      </c>
    </row>
    <row r="10" spans="1:16" ht="31.5" customHeight="1" x14ac:dyDescent="0.25">
      <c r="A10" s="10">
        <v>5</v>
      </c>
      <c r="B10" s="8" t="str">
        <f>INDEX(KPI_Thang1!$B:$B, ROW(A10))</f>
        <v>ABC</v>
      </c>
      <c r="C10" s="11">
        <f>INDEX(KPI_Thang1!$H:$H, ROW(A10))</f>
        <v>72</v>
      </c>
      <c r="D10" s="11">
        <f>INDEX(KPI_Thang2!$H:$H, ROW(A10))</f>
        <v>67.5</v>
      </c>
      <c r="E10" s="11">
        <f>INDEX(KPI_Thang3!$H:$H, ROW(A10))</f>
        <v>72</v>
      </c>
      <c r="F10" s="11">
        <f>INDEX(KPI_Thang4!$H:$H, ROW(A10))</f>
        <v>72</v>
      </c>
      <c r="G10" s="11">
        <f>INDEX(KPI_Thang5!$H:$H, ROW(A10))</f>
        <v>72</v>
      </c>
      <c r="H10" s="11">
        <f>INDEX(KPI_Thang6!$H:$H, ROW(A10))</f>
        <v>72</v>
      </c>
      <c r="I10" s="11">
        <f>INDEX(KPI_Thang7!$H:$H, ROW(A10))</f>
        <v>72</v>
      </c>
      <c r="J10" s="11">
        <f>INDEX(KPI_Thang8!$H:$H, ROW(A10))</f>
        <v>72</v>
      </c>
      <c r="K10" s="11">
        <f>INDEX(KPI_Thang9!$H:$H, ROW(A10))</f>
        <v>72</v>
      </c>
      <c r="L10" s="11">
        <f>INDEX(KPI_Thang10!$H:$H, ROW(A10))</f>
        <v>72</v>
      </c>
      <c r="M10" s="11">
        <f>INDEX(KPI_Thang11!$H:$H, ROW(A10))</f>
        <v>72</v>
      </c>
      <c r="N10" s="11">
        <f>INDEX(KPI_Thang12!$H:$H, ROW(A10))</f>
        <v>87</v>
      </c>
      <c r="O10" s="11">
        <f t="shared" si="0"/>
        <v>72.88</v>
      </c>
      <c r="P10" s="11" t="str">
        <f t="shared" si="1"/>
        <v>Hoàn Thành</v>
      </c>
    </row>
    <row r="12" spans="1:16" s="6" customFormat="1" ht="18.75" x14ac:dyDescent="0.3">
      <c r="B12" s="17" t="s">
        <v>32</v>
      </c>
      <c r="C12" s="17"/>
      <c r="D12" s="17"/>
      <c r="E12" s="17"/>
      <c r="L12" s="17" t="s">
        <v>33</v>
      </c>
      <c r="M12" s="17"/>
      <c r="N12" s="17"/>
      <c r="O12" s="17"/>
      <c r="P12" s="17"/>
    </row>
    <row r="13" spans="1:16" s="6" customFormat="1" ht="18.75" x14ac:dyDescent="0.3">
      <c r="E13" s="9"/>
      <c r="L13" s="15" t="s">
        <v>34</v>
      </c>
      <c r="M13" s="15"/>
      <c r="N13" s="15"/>
      <c r="O13" s="15"/>
      <c r="P13" s="15"/>
    </row>
  </sheetData>
  <mergeCells count="7">
    <mergeCell ref="B12:E12"/>
    <mergeCell ref="L12:P12"/>
    <mergeCell ref="L13:P13"/>
    <mergeCell ref="A1:B1"/>
    <mergeCell ref="A2:B2"/>
    <mergeCell ref="D1:O1"/>
    <mergeCell ref="D2:O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KPI_Thang1</vt:lpstr>
      <vt:lpstr>KPI_Thang2</vt:lpstr>
      <vt:lpstr>KPI_Thang3</vt:lpstr>
      <vt:lpstr>KPI_Thang4</vt:lpstr>
      <vt:lpstr>KPI_Thang5</vt:lpstr>
      <vt:lpstr>KPI_Thang6</vt:lpstr>
      <vt:lpstr>KPI_Thang7</vt:lpstr>
      <vt:lpstr>KPI_Thang8</vt:lpstr>
      <vt:lpstr>KPI_Thang9</vt:lpstr>
      <vt:lpstr>KPI_Thang10</vt:lpstr>
      <vt:lpstr>KPI_Thang11</vt:lpstr>
      <vt:lpstr>KPI_Thang12</vt:lpstr>
      <vt:lpstr>năm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cam</dc:creator>
  <cp:lastModifiedBy>PC-D1</cp:lastModifiedBy>
  <cp:lastPrinted>2025-09-18T01:50:34Z</cp:lastPrinted>
  <dcterms:created xsi:type="dcterms:W3CDTF">2015-06-05T18:17:20Z</dcterms:created>
  <dcterms:modified xsi:type="dcterms:W3CDTF">2025-10-13T01:41:37Z</dcterms:modified>
</cp:coreProperties>
</file>