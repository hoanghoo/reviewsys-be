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105" yWindow="-105" windowWidth="23250" windowHeight="12450" activeTab="12"/>
  </bookViews>
  <sheets>
    <sheet sheetId="1" name="KPI_Thang1" state="visible" r:id="rId4"/>
    <sheet sheetId="3" name="KPI_Thang2" state="visible" r:id="rId5"/>
    <sheet sheetId="4" name="KPI_Thang3" state="visible" r:id="rId6"/>
    <sheet sheetId="5" name="KPI_Thang4" state="visible" r:id="rId7"/>
    <sheet sheetId="6" name="KPI_Thang5" state="visible" r:id="rId8"/>
    <sheet sheetId="7" name="KPI_Thang6" state="visible" r:id="rId9"/>
    <sheet sheetId="8" name="KPI_Thang7" state="visible" r:id="rId10"/>
    <sheet sheetId="9" name="KPI_Thang8" state="visible" r:id="rId11"/>
    <sheet sheetId="10" name="KPI_Thang9" state="visible" r:id="rId12"/>
    <sheet sheetId="11" name="KPI_Thang10" state="visible" r:id="rId13"/>
    <sheet sheetId="12" name="KPI_Thang11" state="visible" r:id="rId14"/>
    <sheet sheetId="13" name="KPI_Thang12" state="visible" r:id="rId15"/>
    <sheet sheetId="2" name="năm" state="visible" r:id="rId16"/>
  </sheets>
  <calcPr calcId="171027"/>
</workbook>
</file>

<file path=xl/sharedStrings.xml><?xml version="1.0" encoding="utf-8"?>
<sst xmlns="http://schemas.openxmlformats.org/spreadsheetml/2006/main" count="277" uniqueCount="44">
  <si>
    <t>PHÒNG PA05</t>
  </si>
  <si>
    <t>BẢNG TỔNG HỢP KẾT QUẢ CHẤM ĐIỂM</t>
  </si>
  <si>
    <t>ĐỘI ……….</t>
  </si>
  <si>
    <t>THỰC HIỆN NHIỆM VỤ CỦA CBCS THÁNG .….. NĂM ……...</t>
  </si>
  <si>
    <t>STT</t>
  </si>
  <si>
    <t>Họ và tên</t>
  </si>
  <si>
    <t>Công tác chuyên môn</t>
  </si>
  <si>
    <t>Công tác NVCB</t>
  </si>
  <si>
    <t>Điểm TB Chất lượng</t>
  </si>
  <si>
    <t xml:space="preserve">Điểm cộng </t>
  </si>
  <si>
    <t>Điểm trừ</t>
  </si>
  <si>
    <t>Tổng điểm (100)</t>
  </si>
  <si>
    <t>Xếp loại</t>
  </si>
  <si>
    <t>User 1</t>
  </si>
  <si>
    <t>User 2</t>
  </si>
  <si>
    <t>User 3</t>
  </si>
  <si>
    <t>User 4</t>
  </si>
  <si>
    <t>User 5</t>
  </si>
  <si>
    <t>User 6</t>
  </si>
  <si>
    <t>User 7</t>
  </si>
  <si>
    <t>LÃNH ĐẠO PHÒNG</t>
  </si>
  <si>
    <t>ĐỘI TRƯỞNG</t>
  </si>
  <si>
    <t>(Ký, ghi rõ họ tên)</t>
  </si>
  <si>
    <t>THỰC HIỆN NHIỆM VỤ THEO KPI CỦA CBCS THÁNG ………</t>
  </si>
  <si>
    <t>Nguyễn Văn A</t>
  </si>
  <si>
    <t>Trần Thị B</t>
  </si>
  <si>
    <t>Đặng Tiến C</t>
  </si>
  <si>
    <t>Lê Văn D</t>
  </si>
  <si>
    <t>ABC</t>
  </si>
  <si>
    <t>THỰC HIỆN NHIỆM VỤ CỦA CBCS NĂM…..</t>
  </si>
  <si>
    <t>Tháng 1</t>
  </si>
  <si>
    <t>Tháng 2</t>
  </si>
  <si>
    <t>Tháng 3</t>
  </si>
  <si>
    <t>Tháng 4</t>
  </si>
  <si>
    <t>Tháng 5</t>
  </si>
  <si>
    <t>Tháng 6</t>
  </si>
  <si>
    <t>Tháng 7</t>
  </si>
  <si>
    <t>Tháng 8</t>
  </si>
  <si>
    <t>Tháng 9</t>
  </si>
  <si>
    <t>Tháng 10</t>
  </si>
  <si>
    <t>Tháng 11</t>
  </si>
  <si>
    <t>Tháng 12</t>
  </si>
  <si>
    <t>Điểm TB năm</t>
  </si>
  <si>
    <t>Xếp loại năm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</si>
</sst>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color theme="1"/>
      <family val="2"/>
      <scheme val="minor"/>
      <sz val="11"/>
      <name val="Calibri"/>
    </font>
    <font>
      <color theme="1"/>
      <family val="1"/>
      <sz val="14"/>
      <name val="Times New Roman"/>
    </font>
    <font>
      <b/>
      <color theme="1"/>
      <family val="1"/>
      <sz val="14"/>
      <name val="Times New Roman"/>
    </font>
    <font>
      <i/>
      <color theme="1"/>
      <family val="1"/>
      <sz val="14"/>
      <name val="Times New Roman"/>
    </font>
    <font>
      <charset val="163"/>
      <color theme="1"/>
      <family val="1"/>
      <scheme val="major"/>
      <sz val="14"/>
      <name val="Calibri Light"/>
    </font>
    <font>
      <b/>
      <charset val="163"/>
      <color theme="1"/>
      <family val="1"/>
      <scheme val="major"/>
      <sz val="14"/>
      <name val="Calibri Light"/>
    </font>
    <font>
      <color theme="1"/>
      <family val="1"/>
      <sz val="11"/>
      <name val="Times New Roman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2" fillId="0" borderId="1" xfId="0" applyFont="1" applyBorder="1"/>
    <xf numFmtId="0" fontId="2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/>
    <xf numFmtId="0" fontId="1" fillId="0" borderId="1" xfId="0" applyFont="1" applyBorder="1" applyAlignment="1">
      <alignment horizontal="center"/>
    </xf>
    <xf numFmtId="0" fontId="1" fillId="0" borderId="0" xfId="0" applyFont="1" applyAlignment="1">
      <alignment vertical="center" wrapText="1"/>
    </xf>
    <xf numFmtId="0" fontId="3" fillId="0" borderId="0" xfId="0" applyFont="1" applyAlignment="1">
      <alignment horizontal="center"/>
    </xf>
    <xf numFmtId="0" fontId="4" fillId="0" borderId="0" xfId="0" applyFont="1"/>
    <xf numFmtId="0" fontId="5" fillId="0" borderId="0" xfId="0" applyFont="1" applyAlignment="1">
      <alignment horizontal="center" vertical="center" wrapText="1"/>
    </xf>
    <xf numFmtId="0" fontId="4" fillId="0" borderId="0" xfId="0" applyFont="1" applyAlignment="1">
      <alignment vertical="center" wrapText="1"/>
    </xf>
    <xf numFmtId="0" fontId="6" fillId="0" borderId="0" xfId="0" applyFont="1"/>
    <xf numFmtId="0" fontId="2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9"/>
  <sheetViews>
    <sheetView workbookViewId="0" zoomScale="115" zoomScaleNormal="115">
      <selection activeCell="I5" sqref="I5"/>
    </sheetView>
  </sheetViews>
  <sheetFormatPr defaultRowHeight="18.75" outlineLevelRow="0" outlineLevelCol="0" x14ac:dyDescent="0.3" defaultColWidth="8.85546875" customHeight="1"/>
  <cols>
    <col min="1" max="1" width="7.28515625" style="1" customWidth="1"/>
    <col min="2" max="2" width="18.5703125" style="1" customWidth="1"/>
    <col min="3" max="3" width="12" style="1" customWidth="1"/>
    <col min="4" max="4" width="12.85546875" style="1" customWidth="1"/>
    <col min="5" max="5" width="14" style="1" customWidth="1"/>
    <col min="6" max="6" width="11" style="1" customWidth="1"/>
    <col min="7" max="7" width="9" style="1" customWidth="1"/>
    <col min="8" max="8" width="11.28515625" style="1" customWidth="1"/>
    <col min="9" max="9" width="24.140625" style="1" customWidth="1"/>
    <col min="10" max="16384" width="8.85546875" style="1" customWidth="1"/>
  </cols>
  <sheetData>
    <row r="1" spans="1:9" x14ac:dyDescent="0.25">
      <c r="A1" s="2" t="s">
        <v>0</v>
      </c>
      <c r="B1" s="2"/>
      <c r="D1" s="3" t="s">
        <v>1</v>
      </c>
      <c r="E1" s="3"/>
      <c r="F1" s="3"/>
      <c r="G1" s="3"/>
      <c r="H1" s="3"/>
      <c r="I1" s="3"/>
    </row>
    <row r="2" spans="1:9" x14ac:dyDescent="0.25">
      <c r="A2" s="3" t="s">
        <v>2</v>
      </c>
      <c r="B2" s="3"/>
      <c r="D2" s="3" t="s">
        <v>3</v>
      </c>
      <c r="E2" s="3"/>
      <c r="F2" s="3"/>
      <c r="G2" s="3"/>
      <c r="H2" s="3"/>
      <c r="I2" s="3"/>
    </row>
    <row r="5" ht="75" customHeight="1" spans="1:9" x14ac:dyDescent="0.25">
      <c r="A5" s="4" t="s">
        <v>4</v>
      </c>
      <c r="B5" s="5" t="s">
        <v>5</v>
      </c>
      <c r="C5" s="5" t="s">
        <v>6</v>
      </c>
      <c r="D5" s="5" t="s">
        <v>7</v>
      </c>
      <c r="E5" s="5" t="s">
        <v>8</v>
      </c>
      <c r="F5" s="5" t="s">
        <v>9</v>
      </c>
      <c r="G5" s="5" t="s">
        <v>10</v>
      </c>
      <c r="H5" s="5" t="s">
        <v>11</v>
      </c>
      <c r="I5" s="5" t="s">
        <v>12</v>
      </c>
    </row>
    <row r="6" spans="1:9" x14ac:dyDescent="0.25">
      <c r="A6" s="6">
        <v>1</v>
      </c>
      <c r="B6" s="7" t="s">
        <v>13</v>
      </c>
      <c r="C6" s="8">
        <v>10</v>
      </c>
      <c r="D6" s="8">
        <v>10</v>
      </c>
      <c r="E6" s="8">
        <f>AVERAGE(C6:D6)</f>
        <v>90</v>
      </c>
      <c r="F6" s="8">
        <v>0</v>
      </c>
      <c r="G6" s="8">
        <v>0</v>
      </c>
      <c r="H6" s="8">
        <f>ROUND(E6 +F6 - G6,2)</f>
        <v>92</v>
      </c>
      <c r="I6" s="8" t="str">
        <f>IF(H6&gt;90,"Hoàn thành xuất sắc",IF(H6&gt;=75,"Hoàn thành tốt",IF(H6&gt;=60,"Hoàn thành","Không hoàn thành")))</f>
        <v>Hoàn thành xuất sắc</v>
      </c>
    </row>
    <row r="7" spans="1:9" x14ac:dyDescent="0.25">
      <c r="A7" s="6">
        <v>2</v>
      </c>
      <c r="B7" s="7" t="s">
        <v>14</v>
      </c>
      <c r="C7" s="8">
        <v>10</v>
      </c>
      <c r="D7" s="8">
        <v>10</v>
      </c>
      <c r="E7" s="8">
        <f t="shared" ref="E7:E10" si="0">AVERAGE(C7:D7)</f>
        <v>60</v>
      </c>
      <c r="F7" s="8">
        <v>0</v>
      </c>
      <c r="G7" s="8">
        <v>0</v>
      </c>
      <c r="H7" s="8">
        <f t="shared" ref="H7:H10" si="1">ROUND(E7 +F7 - G7,2)</f>
        <v>60</v>
      </c>
      <c r="I7" s="8" t="str">
        <f t="shared" ref="I7:I10" si="2">IF(H7&gt;90,"Hoàn thành xuất sắc",IF(H7&gt;=75,"Hoàn thành tốt",IF(H7&gt;=60,"Hoàn thành","Không hoàn thành")))</f>
        <v>Hoàn thành</v>
      </c>
    </row>
    <row r="8" spans="1:9" x14ac:dyDescent="0.25">
      <c r="A8" s="6">
        <v>3</v>
      </c>
      <c r="B8" s="9" t="s">
        <v>15</v>
      </c>
      <c r="C8" s="10">
        <v>10</v>
      </c>
      <c r="D8" s="10">
        <v>10</v>
      </c>
      <c r="E8" s="8">
        <f t="shared" si="0"/>
        <v>90</v>
      </c>
      <c r="F8" s="10">
        <v>0</v>
      </c>
      <c r="G8" s="10">
        <v>0</v>
      </c>
      <c r="H8" s="8">
        <f t="shared" si="1"/>
        <v>90</v>
      </c>
      <c r="I8" s="8" t="str">
        <f t="shared" si="2"/>
        <v>Hoàn thành tốt</v>
      </c>
    </row>
    <row r="9" spans="1:9" x14ac:dyDescent="0.25">
      <c r="A9" s="6">
        <v>4</v>
      </c>
      <c r="B9" s="9" t="s">
        <v>16</v>
      </c>
      <c r="C9" s="10">
        <v>10</v>
      </c>
      <c r="D9" s="10">
        <v>10</v>
      </c>
      <c r="E9" s="8">
        <f t="shared" si="0"/>
        <v>80</v>
      </c>
      <c r="F9" s="10">
        <v>0</v>
      </c>
      <c r="G9" s="10">
        <v>0</v>
      </c>
      <c r="H9" s="8">
        <f t="shared" si="1"/>
        <v>80</v>
      </c>
      <c r="I9" s="8" t="str">
        <f t="shared" si="2"/>
        <v>Hoàn thành tốt</v>
      </c>
    </row>
    <row r="10" spans="1:9" x14ac:dyDescent="0.25">
      <c r="A10" s="6">
        <v>5</v>
      </c>
      <c r="B10" s="9" t="s">
        <v>17</v>
      </c>
      <c r="C10" s="10">
        <v>10</v>
      </c>
      <c r="D10" s="10">
        <v>10</v>
      </c>
      <c r="E10" s="8">
        <f t="shared" si="0"/>
        <v>75</v>
      </c>
      <c r="F10" s="10">
        <v>0</v>
      </c>
      <c r="G10" s="10">
        <v>0</v>
      </c>
      <c r="H10" s="8">
        <f t="shared" si="1"/>
        <v>72</v>
      </c>
      <c r="I10" s="8" t="str">
        <f t="shared" si="2"/>
        <v>Hoàn thành</v>
      </c>
    </row>
    <row r="11" spans="1:9" x14ac:dyDescent="0.25">
      <c r="A11" s="6">
        <v>6</v>
      </c>
      <c r="B11" s="9" t="s">
        <v>18</v>
      </c>
      <c r="C11" s="10">
        <v>10</v>
      </c>
      <c r="D11" s="10">
        <v>10</v>
      </c>
      <c r="E11" s="8">
        <f t="shared" si="0"/>
        <v>75</v>
      </c>
      <c r="F11" s="10">
        <v>0</v>
      </c>
      <c r="G11" s="10">
        <v>0</v>
      </c>
      <c r="H11" s="8">
        <f t="shared" si="1"/>
        <v>72</v>
      </c>
      <c r="I11" s="8" t="str">
        <f t="shared" si="2"/>
        <v>Hoàn thành</v>
      </c>
    </row>
    <row r="12" spans="1:9" x14ac:dyDescent="0.25">
      <c r="A12" s="6">
        <v>7</v>
      </c>
      <c r="B12" s="9" t="s">
        <v>19</v>
      </c>
      <c r="C12" s="10">
        <v>10</v>
      </c>
      <c r="D12" s="10">
        <v>10</v>
      </c>
      <c r="E12" s="8">
        <f t="shared" si="0"/>
        <v>75</v>
      </c>
      <c r="F12" s="10">
        <v>0</v>
      </c>
      <c r="G12" s="10">
        <v>0</v>
      </c>
      <c r="H12" s="8">
        <f t="shared" si="1"/>
        <v>72</v>
      </c>
      <c r="I12" s="8" t="str">
        <f t="shared" si="2"/>
        <v>Hoàn thành</v>
      </c>
    </row>
    <row r="13" spans="1:9" x14ac:dyDescent="0.25">
      <c r="A13" s="1"/>
      <c r="B13" s="1"/>
      <c r="C13" s="1"/>
      <c r="D13" s="1"/>
      <c r="E13" s="11"/>
      <c r="F13" s="1"/>
      <c r="G13" s="1"/>
      <c r="H13" s="11"/>
      <c r="I13" s="11"/>
    </row>
    <row r="14" spans="1:9" x14ac:dyDescent="0.25">
      <c r="A14" s="1"/>
      <c r="B14" s="3" t="s">
        <v>20</v>
      </c>
      <c r="C14" s="3"/>
      <c r="D14" s="3"/>
      <c r="E14" s="11"/>
      <c r="F14" s="1"/>
      <c r="G14" s="3" t="s">
        <v>21</v>
      </c>
      <c r="H14" s="3"/>
      <c r="I14" s="3"/>
    </row>
    <row r="15" spans="1:9" x14ac:dyDescent="0.25">
      <c r="A15" s="1"/>
      <c r="B15" s="1"/>
      <c r="C15" s="1"/>
      <c r="D15" s="1"/>
      <c r="E15" s="11"/>
      <c r="F15" s="1"/>
      <c r="G15" s="12" t="s">
        <v>22</v>
      </c>
      <c r="H15" s="12"/>
      <c r="I15" s="12"/>
    </row>
    <row r="16" spans="1:9" x14ac:dyDescent="0.25">
      <c r="A16" s="1"/>
      <c r="B16" s="1"/>
      <c r="C16" s="1"/>
      <c r="D16" s="1"/>
      <c r="E16" s="11"/>
      <c r="F16" s="1"/>
      <c r="G16" s="1"/>
      <c r="H16" s="11"/>
      <c r="I16" s="11"/>
    </row>
    <row r="17" spans="1:9" x14ac:dyDescent="0.25">
      <c r="A17" s="1"/>
      <c r="B17" s="1"/>
      <c r="C17" s="1"/>
      <c r="D17" s="1"/>
      <c r="E17" s="11"/>
      <c r="F17" s="1"/>
      <c r="G17" s="1"/>
      <c r="H17" s="11"/>
      <c r="I17" s="11"/>
    </row>
    <row r="18" spans="1:5" x14ac:dyDescent="0.25">
      <c r="A18" s="1"/>
      <c r="B18" s="1"/>
      <c r="C18" s="1"/>
      <c r="D18" s="1"/>
      <c r="E18" s="11"/>
    </row>
    <row r="19" spans="1:5" x14ac:dyDescent="0.25">
      <c r="A19" s="1"/>
      <c r="B19" s="1"/>
      <c r="C19" s="1"/>
      <c r="D19" s="1"/>
      <c r="E19" s="11"/>
    </row>
  </sheetData>
  <mergeCells count="7">
    <mergeCell ref="A1:B1"/>
    <mergeCell ref="D1:I1"/>
    <mergeCell ref="A2:B2"/>
    <mergeCell ref="D2:I2"/>
    <mergeCell ref="B14:D14"/>
    <mergeCell ref="G14:I14"/>
    <mergeCell ref="G15:I15"/>
  </mergeCells>
  <pageMargins left="0.7" right="0.7" top="0.75" bottom="0.75" header="0.3" footer="0.3"/>
  <pageSetup orientation="landscape" horizontalDpi="4294967295" verticalDpi="4294967295" scale="100" fitToWidth="1" fitToHeight="1" firstPageNumber="1" useFirstPageNumber="1" copies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13"/>
  <sheetViews>
    <sheetView workbookViewId="0" zoomScale="85" zoomScaleNormal="85">
      <selection activeCell="L13" sqref="L13"/>
    </sheetView>
  </sheetViews>
  <sheetFormatPr defaultRowHeight="15" outlineLevelRow="0" outlineLevelCol="0" x14ac:dyDescent="0.25" defaultColWidth="8.85546875"/>
  <cols>
    <col min="1" max="1" width="6.140625" style="16" customWidth="1"/>
    <col min="2" max="2" width="19" style="16" customWidth="1"/>
    <col min="3" max="14" width="8.7109375" style="16" customWidth="1"/>
    <col min="15" max="15" width="10" style="16" customWidth="1"/>
    <col min="16" max="16" width="22" style="16" customWidth="1"/>
    <col min="17" max="16384" width="8.85546875" style="16" customWidth="1"/>
  </cols>
  <sheetData>
    <row r="1" ht="18.75" customHeight="1" spans="1:15" x14ac:dyDescent="0.25">
      <c r="A1" s="2" t="s">
        <v>0</v>
      </c>
      <c r="B1" s="2"/>
      <c r="C1" s="1"/>
      <c r="D1" s="3" t="s">
        <v>1</v>
      </c>
      <c r="E1" s="3"/>
      <c r="F1" s="3"/>
      <c r="G1" s="3"/>
      <c r="H1" s="3"/>
      <c r="I1" s="3"/>
      <c r="J1" s="3"/>
      <c r="K1" s="3"/>
      <c r="L1" s="3"/>
      <c r="M1" s="3"/>
      <c r="N1" s="3"/>
      <c r="O1" s="3"/>
    </row>
    <row r="2" ht="18.75" customHeight="1" spans="1:15" x14ac:dyDescent="0.25">
      <c r="A2" s="3" t="s">
        <v>2</v>
      </c>
      <c r="B2" s="3"/>
      <c r="C2" s="1"/>
      <c r="D2" s="17" t="s">
        <v>29</v>
      </c>
      <c r="E2" s="17"/>
      <c r="F2" s="17"/>
      <c r="G2" s="17"/>
      <c r="H2" s="17"/>
      <c r="I2" s="17"/>
      <c r="J2" s="17"/>
      <c r="K2" s="17"/>
      <c r="L2" s="17"/>
      <c r="M2" s="17"/>
      <c r="N2" s="17"/>
      <c r="O2" s="17"/>
    </row>
    <row r="3" ht="18.75" customHeight="1" spans="1:9" x14ac:dyDescent="0.25">
      <c r="A3" s="1"/>
      <c r="B3" s="1"/>
      <c r="C3" s="1"/>
      <c r="D3" s="1"/>
      <c r="E3" s="1"/>
      <c r="F3" s="1"/>
      <c r="G3" s="1"/>
      <c r="H3" s="1"/>
      <c r="I3" s="1"/>
    </row>
    <row r="4" ht="18.75" customHeight="1" spans="1:9" x14ac:dyDescent="0.25">
      <c r="A4" s="1"/>
      <c r="B4" s="1"/>
      <c r="C4" s="1"/>
      <c r="D4" s="1"/>
      <c r="E4" s="1"/>
      <c r="F4" s="1"/>
      <c r="G4" s="1"/>
      <c r="H4" s="1"/>
      <c r="I4" s="1"/>
    </row>
    <row r="5" ht="39.75" customHeight="1" spans="1:16" x14ac:dyDescent="0.25">
      <c r="A5" s="18" t="s">
        <v>4</v>
      </c>
      <c r="B5" s="5" t="s">
        <v>5</v>
      </c>
      <c r="C5" s="5" t="s">
        <v>30</v>
      </c>
      <c r="D5" s="5" t="s">
        <v>31</v>
      </c>
      <c r="E5" s="5" t="s">
        <v>32</v>
      </c>
      <c r="F5" s="5" t="s">
        <v>33</v>
      </c>
      <c r="G5" s="5" t="s">
        <v>34</v>
      </c>
      <c r="H5" s="5" t="s">
        <v>35</v>
      </c>
      <c r="I5" s="5" t="s">
        <v>36</v>
      </c>
      <c r="J5" s="5" t="s">
        <v>37</v>
      </c>
      <c r="K5" s="5" t="s">
        <v>38</v>
      </c>
      <c r="L5" s="5" t="s">
        <v>39</v>
      </c>
      <c r="M5" s="5" t="s">
        <v>40</v>
      </c>
      <c r="N5" s="5" t="s">
        <v>41</v>
      </c>
      <c r="O5" s="5" t="s">
        <v>42</v>
      </c>
      <c r="P5" s="5" t="s">
        <v>43</v>
      </c>
    </row>
    <row r="6" ht="31.5" customHeight="1" spans="1:16" x14ac:dyDescent="0.25">
      <c r="A6" s="6">
        <v>1</v>
      </c>
      <c r="B6" s="7" t="str">
        <f>INDEX(KPI_Thang1!$B:$B, ROW(A6))</f>
        <v>Nguyễn Văn A</v>
      </c>
      <c r="C6" s="8">
        <f>INDEX(KPI_Thang1!$H:$H, ROW(A6))</f>
        <v>92</v>
      </c>
      <c r="D6" s="8">
        <f>INDEX(KPI_Thang2!$H:$H, ROW(A6))</f>
        <v>72</v>
      </c>
      <c r="E6" s="8">
        <f>INDEX(KPI_Thang3!$H:$H, ROW(A6))</f>
        <v>92</v>
      </c>
      <c r="F6" s="8">
        <f>INDEX(KPI_Thang4!$H:$H, ROW(A6))</f>
        <v>92</v>
      </c>
      <c r="G6" s="8">
        <f>INDEX(KPI_Thang5!$H:$H, ROW(A6))</f>
        <v>92</v>
      </c>
      <c r="H6" s="8">
        <f>INDEX(KPI_Thang6!$H:$H, ROW(A6))</f>
        <v>92</v>
      </c>
      <c r="I6" s="8">
        <f>INDEX(KPI_Thang7!$H:$H, ROW(A6))</f>
        <v>92</v>
      </c>
      <c r="J6" s="8">
        <f>INDEX(KPI_Thang8!$H:$H, ROW(A6))</f>
        <v>92</v>
      </c>
      <c r="K6" s="8">
        <f>INDEX(KPI_Thang9!$H:$H, ROW(A6))</f>
        <v>92</v>
      </c>
      <c r="L6" s="8">
        <f>INDEX(KPI_Thang10!$H:$H, ROW(A6))</f>
        <v>92</v>
      </c>
      <c r="M6" s="8">
        <f>INDEX(KPI_Thang11!$H:$H, ROW(A6))</f>
        <v>92</v>
      </c>
      <c r="N6" s="8">
        <f>INDEX(KPI_Thang12!$H:$H, ROW(A6))</f>
        <v>92</v>
      </c>
      <c r="O6" s="8">
        <f>ROUND(AVERAGE(C6:N6),2)</f>
        <v>90.33</v>
      </c>
      <c r="P6" s="8" t="str">
        <f>IF(O6&gt;90,"Xuất sắc",IF(O6&gt;=75,"Tốt",IF(O6&gt;=60,"Hoàn Thành","Không Hoàn Thành")))</f>
        <v>Xuất sắc</v>
      </c>
    </row>
    <row r="7" ht="31.5" customHeight="1" spans="1:16" x14ac:dyDescent="0.25">
      <c r="A7" s="6">
        <v>2</v>
      </c>
      <c r="B7" s="7" t="str">
        <f>INDEX(KPI_Thang1!$B:$B, ROW(A7))</f>
        <v>Trần Thị B</v>
      </c>
      <c r="C7" s="8">
        <f>INDEX(KPI_Thang1!$H:$H, ROW(A7))</f>
        <v>60</v>
      </c>
      <c r="D7" s="8">
        <f>INDEX(KPI_Thang2!$H:$H, ROW(A7))</f>
        <v>76</v>
      </c>
      <c r="E7" s="8">
        <f>INDEX(KPI_Thang3!$H:$H, ROW(A7))</f>
        <v>60</v>
      </c>
      <c r="F7" s="8">
        <f>INDEX(KPI_Thang4!$H:$H, ROW(A7))</f>
        <v>60</v>
      </c>
      <c r="G7" s="8">
        <f>INDEX(KPI_Thang5!$H:$H, ROW(A7))</f>
        <v>60</v>
      </c>
      <c r="H7" s="8">
        <f>INDEX(KPI_Thang6!$H:$H, ROW(A7))</f>
        <v>60</v>
      </c>
      <c r="I7" s="8">
        <f>INDEX(KPI_Thang7!$H:$H, ROW(A7))</f>
        <v>60</v>
      </c>
      <c r="J7" s="8">
        <f>INDEX(KPI_Thang8!$H:$H, ROW(A7))</f>
        <v>60</v>
      </c>
      <c r="K7" s="8">
        <f>INDEX(KPI_Thang9!$H:$H, ROW(A7))</f>
        <v>60</v>
      </c>
      <c r="L7" s="8">
        <f>INDEX(KPI_Thang10!$H:$H, ROW(A7))</f>
        <v>60</v>
      </c>
      <c r="M7" s="8">
        <f>INDEX(KPI_Thang11!$H:$H, ROW(A7))</f>
        <v>60</v>
      </c>
      <c r="N7" s="8">
        <f>INDEX(KPI_Thang12!$H:$H, ROW(A7))</f>
        <v>60</v>
      </c>
      <c r="O7" s="8">
        <f t="shared" ref="O7:O10" si="0">ROUND(AVERAGE(C7:N7),2)</f>
        <v>61.33</v>
      </c>
      <c r="P7" s="8" t="str">
        <f t="shared" ref="P7:P10" si="1">IF(O7&gt;90,"Xuất sắc",IF(O7&gt;=75,"Tốt",IF(O7&gt;=60,"Hoàn Thành","Không Hoàn Thành")))</f>
        <v>Hoàn Thành</v>
      </c>
    </row>
    <row r="8" ht="31.5" customHeight="1" spans="1:16" x14ac:dyDescent="0.25">
      <c r="A8" s="6">
        <v>3</v>
      </c>
      <c r="B8" s="7" t="str">
        <f>INDEX(KPI_Thang1!$B:$B, ROW(A8))</f>
        <v>Đặng Tiến C</v>
      </c>
      <c r="C8" s="8">
        <f>INDEX(KPI_Thang1!$H:$H, ROW(A8))</f>
        <v>90</v>
      </c>
      <c r="D8" s="8">
        <f>INDEX(KPI_Thang2!$H:$H, ROW(A8))</f>
        <v>95</v>
      </c>
      <c r="E8" s="8">
        <f>INDEX(KPI_Thang3!$H:$H, ROW(A8))</f>
        <v>90</v>
      </c>
      <c r="F8" s="8">
        <f>INDEX(KPI_Thang4!$H:$H, ROW(A8))</f>
        <v>90</v>
      </c>
      <c r="G8" s="8">
        <f>INDEX(KPI_Thang5!$H:$H, ROW(A8))</f>
        <v>90</v>
      </c>
      <c r="H8" s="8">
        <f>INDEX(KPI_Thang6!$H:$H, ROW(A8))</f>
        <v>90</v>
      </c>
      <c r="I8" s="8">
        <f>INDEX(KPI_Thang7!$H:$H, ROW(A8))</f>
        <v>90</v>
      </c>
      <c r="J8" s="8">
        <f>INDEX(KPI_Thang8!$H:$H, ROW(A8))</f>
        <v>90</v>
      </c>
      <c r="K8" s="8">
        <f>INDEX(KPI_Thang9!$H:$H, ROW(A8))</f>
        <v>90</v>
      </c>
      <c r="L8" s="8">
        <f>INDEX(KPI_Thang10!$H:$H, ROW(A8))</f>
        <v>90</v>
      </c>
      <c r="M8" s="8">
        <f>INDEX(KPI_Thang11!$H:$H, ROW(A8))</f>
        <v>90</v>
      </c>
      <c r="N8" s="8">
        <f>INDEX(KPI_Thang12!$H:$H, ROW(A8))</f>
        <v>90</v>
      </c>
      <c r="O8" s="8">
        <f t="shared" si="0"/>
        <v>90.42</v>
      </c>
      <c r="P8" s="8" t="str">
        <f t="shared" si="1"/>
        <v>Xuất sắc</v>
      </c>
    </row>
    <row r="9" ht="31.5" customHeight="1" spans="1:16" x14ac:dyDescent="0.25">
      <c r="A9" s="6">
        <v>4</v>
      </c>
      <c r="B9" s="7" t="str">
        <f>INDEX(KPI_Thang1!$B:$B, ROW(A9))</f>
        <v>Lê Văn D</v>
      </c>
      <c r="C9" s="8">
        <f>INDEX(KPI_Thang1!$H:$H, ROW(A9))</f>
        <v>80</v>
      </c>
      <c r="D9" s="8">
        <f>INDEX(KPI_Thang2!$H:$H, ROW(A9))</f>
        <v>83.5</v>
      </c>
      <c r="E9" s="8">
        <f>INDEX(KPI_Thang3!$H:$H, ROW(A9))</f>
        <v>80</v>
      </c>
      <c r="F9" s="8">
        <f>INDEX(KPI_Thang4!$H:$H, ROW(A9))</f>
        <v>80</v>
      </c>
      <c r="G9" s="8">
        <f>INDEX(KPI_Thang5!$H:$H, ROW(A9))</f>
        <v>80</v>
      </c>
      <c r="H9" s="8">
        <f>INDEX(KPI_Thang6!$H:$H, ROW(A9))</f>
        <v>80</v>
      </c>
      <c r="I9" s="8">
        <f>INDEX(KPI_Thang7!$H:$H, ROW(A9))</f>
        <v>80</v>
      </c>
      <c r="J9" s="8">
        <f>INDEX(KPI_Thang8!$H:$H, ROW(A9))</f>
        <v>80</v>
      </c>
      <c r="K9" s="8">
        <f>INDEX(KPI_Thang9!$H:$H, ROW(A9))</f>
        <v>80</v>
      </c>
      <c r="L9" s="8">
        <f>INDEX(KPI_Thang10!$H:$H, ROW(A9))</f>
        <v>80</v>
      </c>
      <c r="M9" s="8">
        <f>INDEX(KPI_Thang11!$H:$H, ROW(A9))</f>
        <v>80</v>
      </c>
      <c r="N9" s="8">
        <f>INDEX(KPI_Thang12!$H:$H, ROW(A9))</f>
        <v>80</v>
      </c>
      <c r="O9" s="8">
        <f t="shared" si="0"/>
        <v>80.29</v>
      </c>
      <c r="P9" s="8" t="str">
        <f t="shared" si="1"/>
        <v>Tốt</v>
      </c>
    </row>
    <row r="10" ht="31.5" customHeight="1" spans="1:16" x14ac:dyDescent="0.25">
      <c r="A10" s="6">
        <v>5</v>
      </c>
      <c r="B10" s="7" t="str">
        <f>INDEX(KPI_Thang1!$B:$B, ROW(A10))</f>
        <v>ABC</v>
      </c>
      <c r="C10" s="8">
        <f>INDEX(KPI_Thang1!$H:$H, ROW(A10))</f>
        <v>72</v>
      </c>
      <c r="D10" s="8">
        <f>INDEX(KPI_Thang2!$H:$H, ROW(A10))</f>
        <v>67.5</v>
      </c>
      <c r="E10" s="8">
        <f>INDEX(KPI_Thang3!$H:$H, ROW(A10))</f>
        <v>72</v>
      </c>
      <c r="F10" s="8">
        <f>INDEX(KPI_Thang4!$H:$H, ROW(A10))</f>
        <v>72</v>
      </c>
      <c r="G10" s="8">
        <f>INDEX(KPI_Thang5!$H:$H, ROW(A10))</f>
        <v>72</v>
      </c>
      <c r="H10" s="8">
        <f>INDEX(KPI_Thang6!$H:$H, ROW(A10))</f>
        <v>72</v>
      </c>
      <c r="I10" s="8">
        <f>INDEX(KPI_Thang7!$H:$H, ROW(A10))</f>
        <v>72</v>
      </c>
      <c r="J10" s="8">
        <f>INDEX(KPI_Thang8!$H:$H, ROW(A10))</f>
        <v>72</v>
      </c>
      <c r="K10" s="8">
        <f>INDEX(KPI_Thang9!$H:$H, ROW(A10))</f>
        <v>72</v>
      </c>
      <c r="L10" s="8">
        <f>INDEX(KPI_Thang10!$H:$H, ROW(A10))</f>
        <v>72</v>
      </c>
      <c r="M10" s="8">
        <f>INDEX(KPI_Thang11!$H:$H, ROW(A10))</f>
        <v>72</v>
      </c>
      <c r="N10" s="8">
        <f>INDEX(KPI_Thang12!$H:$H, ROW(A10))</f>
        <v>87</v>
      </c>
      <c r="O10" s="8">
        <f t="shared" si="0"/>
        <v>72.88</v>
      </c>
      <c r="P10" s="8" t="str">
        <f t="shared" si="1"/>
        <v>Hoàn Thành</v>
      </c>
    </row>
    <row r="12" ht="18.75" customHeight="1" spans="2:16" s="1" customFormat="1" x14ac:dyDescent="0.25">
      <c r="B12" s="3" t="s">
        <v>20</v>
      </c>
      <c r="C12" s="3"/>
      <c r="D12" s="3"/>
      <c r="E12" s="3"/>
      <c r="L12" s="3" t="s">
        <v>21</v>
      </c>
      <c r="M12" s="3"/>
      <c r="N12" s="3"/>
      <c r="O12" s="3"/>
      <c r="P12" s="3"/>
    </row>
    <row r="13" ht="18.75" customHeight="1" spans="5:16" s="1" customFormat="1" x14ac:dyDescent="0.25">
      <c r="E13" s="11"/>
      <c r="L13" s="12" t="s">
        <v>22</v>
      </c>
      <c r="M13" s="12"/>
      <c r="N13" s="12"/>
      <c r="O13" s="12"/>
      <c r="P13" s="12"/>
    </row>
  </sheetData>
  <mergeCells count="7">
    <mergeCell ref="A1:B1"/>
    <mergeCell ref="D1:O1"/>
    <mergeCell ref="A2:B2"/>
    <mergeCell ref="D2:O2"/>
    <mergeCell ref="B12:E12"/>
    <mergeCell ref="L12:P12"/>
    <mergeCell ref="L13:P13"/>
  </mergeCells>
  <pageMargins left="0.7" right="0.7" top="0.75" bottom="0.75" header="0.3" footer="0.3"/>
  <pageSetup paperSize="9" orientation="portrait" horizontalDpi="0" verticalDpi="0" scale="100" fitToWidth="1" fitToHeight="1" firstPageNumber="1" useFirstPageNumber="1" copies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7"/>
  <sheetViews>
    <sheetView workbookViewId="0" zoomScale="100" zoomScaleNormal="100">
      <selection activeCell="G13" sqref="G13"/>
    </sheetView>
  </sheetViews>
  <sheetFormatPr defaultRowHeight="18.75" outlineLevelRow="0" outlineLevelCol="0" x14ac:dyDescent="0.3" defaultColWidth="8.85546875" customHeight="1"/>
  <cols>
    <col min="1" max="1" width="8.85546875" style="13" customWidth="1"/>
    <col min="2" max="2" width="23.42578125" style="13" customWidth="1"/>
    <col min="3" max="3" width="12" style="13" customWidth="1"/>
    <col min="4" max="5" width="8.85546875" style="13" customWidth="1"/>
    <col min="6" max="6" width="23.7109375" style="13" customWidth="1"/>
    <col min="7" max="7" width="14.28515625" style="13" customWidth="1"/>
    <col min="8" max="8" width="17.140625" style="13" customWidth="1"/>
    <col min="9" max="9" width="26" style="13" customWidth="1"/>
    <col min="10" max="10" width="25" style="13" customWidth="1"/>
    <col min="11" max="16384" width="8.85546875" style="13" customWidth="1"/>
  </cols>
  <sheetData>
    <row r="1" spans="1:9" x14ac:dyDescent="0.25">
      <c r="A1" s="2" t="s">
        <v>0</v>
      </c>
      <c r="B1" s="2"/>
      <c r="C1" s="1"/>
      <c r="D1" s="3" t="s">
        <v>1</v>
      </c>
      <c r="E1" s="3"/>
      <c r="F1" s="3"/>
      <c r="G1" s="3"/>
      <c r="H1" s="3"/>
      <c r="I1" s="3"/>
    </row>
    <row r="2" spans="1:9" x14ac:dyDescent="0.25">
      <c r="A2" s="3" t="s">
        <v>2</v>
      </c>
      <c r="B2" s="3"/>
      <c r="C2" s="1"/>
      <c r="D2" s="3" t="s">
        <v>23</v>
      </c>
      <c r="E2" s="3"/>
      <c r="F2" s="3"/>
      <c r="G2" s="3"/>
      <c r="H2" s="3"/>
      <c r="I2" s="3"/>
    </row>
    <row r="3" spans="1:9" x14ac:dyDescent="0.25">
      <c r="A3" s="1"/>
      <c r="B3" s="1"/>
      <c r="C3" s="1"/>
      <c r="D3" s="1"/>
      <c r="E3" s="1"/>
      <c r="F3" s="1"/>
      <c r="G3" s="1"/>
      <c r="H3" s="1"/>
      <c r="I3" s="1"/>
    </row>
    <row r="4" spans="1:9" x14ac:dyDescent="0.25">
      <c r="A4" s="1"/>
      <c r="B4" s="1"/>
      <c r="C4" s="1"/>
      <c r="D4" s="1"/>
      <c r="E4" s="1"/>
      <c r="F4" s="1"/>
      <c r="G4" s="1"/>
      <c r="H4" s="1"/>
      <c r="I4" s="1"/>
    </row>
    <row r="5" ht="75" customHeight="1" spans="1:10" x14ac:dyDescent="0.25">
      <c r="A5" s="4" t="s">
        <v>4</v>
      </c>
      <c r="B5" s="5" t="s">
        <v>5</v>
      </c>
      <c r="C5" s="5" t="s">
        <v>6</v>
      </c>
      <c r="D5" s="5" t="s">
        <v>7</v>
      </c>
      <c r="E5" s="5" t="s">
        <v>8</v>
      </c>
      <c r="F5" s="5" t="s">
        <v>9</v>
      </c>
      <c r="G5" s="5" t="s">
        <v>10</v>
      </c>
      <c r="H5" s="5" t="s">
        <v>11</v>
      </c>
      <c r="I5" s="5" t="s">
        <v>12</v>
      </c>
      <c r="J5" s="14"/>
    </row>
    <row r="6" spans="1:10" x14ac:dyDescent="0.25">
      <c r="A6" s="6">
        <v>1</v>
      </c>
      <c r="B6" s="7" t="s">
        <v>24</v>
      </c>
      <c r="C6" s="8">
        <v>80</v>
      </c>
      <c r="D6" s="8">
        <v>70</v>
      </c>
      <c r="E6" s="8">
        <f>AVERAGE(C6:D6)</f>
        <v>75</v>
      </c>
      <c r="F6" s="8">
        <v>0</v>
      </c>
      <c r="G6" s="8">
        <v>3</v>
      </c>
      <c r="H6" s="8">
        <f>ROUND(E6 +F6 - G6,2)</f>
        <v>72</v>
      </c>
      <c r="I6" s="8" t="str">
        <f>IF(H6&gt;90,"Hoàn thành xuất sắc",IF(H6&gt;=75,"Hoàn thành tốt",IF(H6&gt;=60,"Hoàn thành","Không hoàn thành")))</f>
        <v>Hoàn thành</v>
      </c>
      <c r="J6" s="15"/>
    </row>
    <row r="7" spans="1:10" x14ac:dyDescent="0.25">
      <c r="A7" s="6">
        <v>2</v>
      </c>
      <c r="B7" s="7" t="s">
        <v>25</v>
      </c>
      <c r="C7" s="8">
        <v>46</v>
      </c>
      <c r="D7" s="8">
        <v>90</v>
      </c>
      <c r="E7" s="8">
        <f t="shared" ref="E7:E10" si="0">AVERAGE(C7:D7)</f>
        <v>68</v>
      </c>
      <c r="F7" s="8">
        <v>8</v>
      </c>
      <c r="G7" s="8">
        <v>0</v>
      </c>
      <c r="H7" s="8">
        <f t="shared" ref="H7:H10" si="1">ROUND(E7 +F7 - G7,2)</f>
        <v>76</v>
      </c>
      <c r="I7" s="8" t="str">
        <f t="shared" ref="I7:I10" si="2">IF(H7&gt;90,"Hoàn thành xuất sắc",IF(H7&gt;=75,"Hoàn thành tốt",IF(H7&gt;=60,"Hoàn thành","Không hoàn thành")))</f>
        <v>Hoàn thành tốt</v>
      </c>
      <c r="J7" s="15"/>
    </row>
    <row r="8" spans="1:10" x14ac:dyDescent="0.25">
      <c r="A8" s="6">
        <v>3</v>
      </c>
      <c r="B8" s="9" t="s">
        <v>26</v>
      </c>
      <c r="C8" s="10">
        <v>90</v>
      </c>
      <c r="D8" s="10">
        <v>90</v>
      </c>
      <c r="E8" s="8">
        <f t="shared" si="0"/>
        <v>90</v>
      </c>
      <c r="F8" s="10">
        <v>5</v>
      </c>
      <c r="G8" s="10">
        <v>0</v>
      </c>
      <c r="H8" s="8">
        <f t="shared" si="1"/>
        <v>95</v>
      </c>
      <c r="I8" s="8" t="str">
        <f t="shared" si="2"/>
        <v>Hoàn thành xuất sắc</v>
      </c>
      <c r="J8" s="15"/>
    </row>
    <row r="9" spans="1:10" x14ac:dyDescent="0.25">
      <c r="A9" s="6">
        <v>4</v>
      </c>
      <c r="B9" s="9" t="s">
        <v>27</v>
      </c>
      <c r="C9" s="10">
        <v>82</v>
      </c>
      <c r="D9" s="10">
        <v>87</v>
      </c>
      <c r="E9" s="8">
        <f t="shared" si="0"/>
        <v>84.5</v>
      </c>
      <c r="F9" s="10">
        <v>2</v>
      </c>
      <c r="G9" s="10">
        <v>3</v>
      </c>
      <c r="H9" s="8">
        <f t="shared" si="1"/>
        <v>83.5</v>
      </c>
      <c r="I9" s="8" t="str">
        <f t="shared" si="2"/>
        <v>Hoàn thành tốt</v>
      </c>
      <c r="J9" s="15"/>
    </row>
    <row r="10" spans="1:10" x14ac:dyDescent="0.25">
      <c r="A10" s="6">
        <v>5</v>
      </c>
      <c r="B10" s="9" t="s">
        <v>28</v>
      </c>
      <c r="C10" s="10">
        <v>70</v>
      </c>
      <c r="D10" s="10">
        <v>75</v>
      </c>
      <c r="E10" s="8">
        <f t="shared" si="0"/>
        <v>72.5</v>
      </c>
      <c r="F10" s="10">
        <v>0</v>
      </c>
      <c r="G10" s="10">
        <v>5</v>
      </c>
      <c r="H10" s="8">
        <f t="shared" si="1"/>
        <v>67.5</v>
      </c>
      <c r="I10" s="8" t="str">
        <f t="shared" si="2"/>
        <v>Hoàn thành</v>
      </c>
      <c r="J10" s="15"/>
    </row>
    <row r="11" spans="5:10" x14ac:dyDescent="0.25">
      <c r="E11" s="15"/>
      <c r="I11" s="15"/>
      <c r="J11" s="15"/>
    </row>
    <row r="12" spans="1:9" s="1" customFormat="1" x14ac:dyDescent="0.25">
      <c r="A12" s="3" t="s">
        <v>20</v>
      </c>
      <c r="B12" s="3"/>
      <c r="C12" s="3"/>
      <c r="E12" s="11"/>
      <c r="G12" s="3" t="s">
        <v>21</v>
      </c>
      <c r="H12" s="3"/>
      <c r="I12" s="3"/>
    </row>
    <row r="13" spans="5:9" s="1" customFormat="1" x14ac:dyDescent="0.25">
      <c r="E13" s="11"/>
      <c r="G13" s="12" t="s">
        <v>22</v>
      </c>
      <c r="H13" s="2"/>
      <c r="I13" s="2"/>
    </row>
    <row r="14" spans="5:10" x14ac:dyDescent="0.25">
      <c r="E14" s="15"/>
      <c r="I14" s="15"/>
      <c r="J14" s="15"/>
    </row>
    <row r="15" spans="5:10" x14ac:dyDescent="0.25">
      <c r="E15" s="15"/>
      <c r="I15" s="15"/>
      <c r="J15" s="15"/>
    </row>
    <row r="16" spans="5:5" x14ac:dyDescent="0.25">
      <c r="E16" s="15"/>
    </row>
    <row r="17" spans="5:5" x14ac:dyDescent="0.25">
      <c r="E17" s="15"/>
    </row>
  </sheetData>
  <mergeCells count="7">
    <mergeCell ref="A1:B1"/>
    <mergeCell ref="D1:I1"/>
    <mergeCell ref="A2:B2"/>
    <mergeCell ref="D2:I2"/>
    <mergeCell ref="A12:C12"/>
    <mergeCell ref="G12:I12"/>
    <mergeCell ref="G13:I13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7"/>
  <sheetViews>
    <sheetView workbookViewId="0" zoomScale="100" zoomScaleNormal="100">
      <selection activeCell="A12" sqref="A12"/>
    </sheetView>
  </sheetViews>
  <sheetFormatPr defaultRowHeight="18.75" outlineLevelRow="0" outlineLevelCol="0" x14ac:dyDescent="0.3" defaultColWidth="8.85546875" customHeight="1"/>
  <cols>
    <col min="1" max="1" width="8.85546875" style="13" customWidth="1"/>
    <col min="2" max="2" width="23.42578125" style="13" customWidth="1"/>
    <col min="3" max="3" width="12" style="13" customWidth="1"/>
    <col min="4" max="5" width="8.85546875" style="13" customWidth="1"/>
    <col min="6" max="6" width="23.7109375" style="13" customWidth="1"/>
    <col min="7" max="7" width="14.28515625" style="13" customWidth="1"/>
    <col min="8" max="8" width="17.140625" style="13" customWidth="1"/>
    <col min="9" max="9" width="20.5703125" style="13" customWidth="1"/>
    <col min="10" max="16384" width="8.85546875" style="13" customWidth="1"/>
  </cols>
  <sheetData>
    <row r="1" spans="1:9" x14ac:dyDescent="0.25">
      <c r="A1" s="2" t="s">
        <v>0</v>
      </c>
      <c r="B1" s="2"/>
      <c r="C1" s="1"/>
      <c r="D1" s="3" t="s">
        <v>1</v>
      </c>
      <c r="E1" s="3"/>
      <c r="F1" s="3"/>
      <c r="G1" s="3"/>
      <c r="H1" s="3"/>
      <c r="I1" s="3"/>
    </row>
    <row r="2" spans="1:9" x14ac:dyDescent="0.25">
      <c r="A2" s="3" t="s">
        <v>2</v>
      </c>
      <c r="B2" s="3"/>
      <c r="C2" s="1"/>
      <c r="D2" s="3" t="s">
        <v>23</v>
      </c>
      <c r="E2" s="3"/>
      <c r="F2" s="3"/>
      <c r="G2" s="3"/>
      <c r="H2" s="3"/>
      <c r="I2" s="3"/>
    </row>
    <row r="3" spans="1:9" x14ac:dyDescent="0.25">
      <c r="A3" s="1"/>
      <c r="B3" s="1"/>
      <c r="C3" s="1"/>
      <c r="D3" s="1"/>
      <c r="E3" s="1"/>
      <c r="F3" s="1"/>
      <c r="G3" s="1"/>
      <c r="H3" s="1"/>
      <c r="I3" s="1"/>
    </row>
    <row r="4" spans="1:9" x14ac:dyDescent="0.25">
      <c r="A4" s="1"/>
      <c r="B4" s="1"/>
      <c r="C4" s="1"/>
      <c r="D4" s="1"/>
      <c r="E4" s="1"/>
      <c r="F4" s="1"/>
      <c r="G4" s="1"/>
      <c r="H4" s="1"/>
      <c r="I4" s="1"/>
    </row>
    <row r="5" ht="75" customHeight="1" spans="1:9" x14ac:dyDescent="0.25">
      <c r="A5" s="4" t="s">
        <v>4</v>
      </c>
      <c r="B5" s="5" t="s">
        <v>5</v>
      </c>
      <c r="C5" s="5" t="s">
        <v>6</v>
      </c>
      <c r="D5" s="5" t="s">
        <v>7</v>
      </c>
      <c r="E5" s="5" t="s">
        <v>8</v>
      </c>
      <c r="F5" s="5" t="s">
        <v>9</v>
      </c>
      <c r="G5" s="5" t="s">
        <v>10</v>
      </c>
      <c r="H5" s="5" t="s">
        <v>11</v>
      </c>
      <c r="I5" s="5" t="s">
        <v>12</v>
      </c>
    </row>
    <row r="6" ht="37.5" customHeight="1" spans="1:9" x14ac:dyDescent="0.25">
      <c r="A6" s="6">
        <v>1</v>
      </c>
      <c r="B6" s="7" t="s">
        <v>24</v>
      </c>
      <c r="C6" s="8">
        <v>90</v>
      </c>
      <c r="D6" s="8">
        <v>90</v>
      </c>
      <c r="E6" s="8">
        <f>AVERAGE(C6:D6)</f>
        <v>90</v>
      </c>
      <c r="F6" s="8">
        <v>5</v>
      </c>
      <c r="G6" s="8">
        <v>3</v>
      </c>
      <c r="H6" s="8">
        <f>ROUND(E6 +F6 - G6,2)</f>
        <v>92</v>
      </c>
      <c r="I6" s="8" t="str">
        <f>IF(H6&gt;90,"Hoàn thành xuất sắc",IF(H6&gt;=75,"Hoàn thành tốt",IF(H6&gt;=60,"Hoàn thành","Không hoàn thành")))</f>
        <v>Hoàn thành xuất sắc</v>
      </c>
    </row>
    <row r="7" spans="1:9" x14ac:dyDescent="0.25">
      <c r="A7" s="6">
        <v>2</v>
      </c>
      <c r="B7" s="7" t="s">
        <v>25</v>
      </c>
      <c r="C7" s="8">
        <v>40</v>
      </c>
      <c r="D7" s="8">
        <v>80</v>
      </c>
      <c r="E7" s="8">
        <f t="shared" ref="E7:E10" si="0">AVERAGE(C7:D7)</f>
        <v>60</v>
      </c>
      <c r="F7" s="8">
        <v>3</v>
      </c>
      <c r="G7" s="8">
        <v>3</v>
      </c>
      <c r="H7" s="8">
        <f t="shared" ref="H7:H10" si="1">ROUND(E7 +F7 - G7,2)</f>
        <v>60</v>
      </c>
      <c r="I7" s="8" t="str">
        <f t="shared" ref="I7:I10" si="2">IF(H7&gt;90,"Hoàn thành xuất sắc",IF(H7&gt;=75,"Hoàn thành tốt",IF(H7&gt;=60,"Hoàn thành","Không hoàn thành")))</f>
        <v>Hoàn thành</v>
      </c>
    </row>
    <row r="8" spans="1:9" x14ac:dyDescent="0.25">
      <c r="A8" s="6">
        <v>3</v>
      </c>
      <c r="B8" s="9" t="s">
        <v>26</v>
      </c>
      <c r="C8" s="10">
        <v>90</v>
      </c>
      <c r="D8" s="10">
        <v>90</v>
      </c>
      <c r="E8" s="8">
        <f t="shared" si="0"/>
        <v>90</v>
      </c>
      <c r="F8" s="10">
        <v>0</v>
      </c>
      <c r="G8" s="10">
        <v>0</v>
      </c>
      <c r="H8" s="8">
        <f t="shared" si="1"/>
        <v>90</v>
      </c>
      <c r="I8" s="8" t="str">
        <f t="shared" si="2"/>
        <v>Hoàn thành tốt</v>
      </c>
    </row>
    <row r="9" spans="1:9" x14ac:dyDescent="0.25">
      <c r="A9" s="6">
        <v>4</v>
      </c>
      <c r="B9" s="9" t="s">
        <v>27</v>
      </c>
      <c r="C9" s="10">
        <v>80</v>
      </c>
      <c r="D9" s="10">
        <v>80</v>
      </c>
      <c r="E9" s="8">
        <f t="shared" si="0"/>
        <v>80</v>
      </c>
      <c r="F9" s="10">
        <v>0</v>
      </c>
      <c r="G9" s="10">
        <v>0</v>
      </c>
      <c r="H9" s="8">
        <f t="shared" si="1"/>
        <v>80</v>
      </c>
      <c r="I9" s="8" t="str">
        <f t="shared" si="2"/>
        <v>Hoàn thành tốt</v>
      </c>
    </row>
    <row r="10" spans="1:9" x14ac:dyDescent="0.25">
      <c r="A10" s="6">
        <v>5</v>
      </c>
      <c r="B10" s="9" t="s">
        <v>28</v>
      </c>
      <c r="C10" s="10">
        <v>70</v>
      </c>
      <c r="D10" s="10">
        <v>80</v>
      </c>
      <c r="E10" s="8">
        <f t="shared" si="0"/>
        <v>75</v>
      </c>
      <c r="F10" s="10">
        <v>0</v>
      </c>
      <c r="G10" s="10">
        <v>3</v>
      </c>
      <c r="H10" s="8">
        <f t="shared" si="1"/>
        <v>72</v>
      </c>
      <c r="I10" s="8" t="str">
        <f t="shared" si="2"/>
        <v>Hoàn thành</v>
      </c>
    </row>
    <row r="11" spans="5:9" x14ac:dyDescent="0.25">
      <c r="E11" s="15"/>
      <c r="I11" s="15"/>
    </row>
    <row r="12" spans="1:9" s="1" customFormat="1" x14ac:dyDescent="0.25">
      <c r="A12" s="3" t="s">
        <v>20</v>
      </c>
      <c r="B12" s="3"/>
      <c r="C12" s="3"/>
      <c r="E12" s="11"/>
      <c r="G12" s="3" t="s">
        <v>21</v>
      </c>
      <c r="H12" s="3"/>
      <c r="I12" s="3"/>
    </row>
    <row r="13" spans="5:9" s="1" customFormat="1" x14ac:dyDescent="0.25">
      <c r="E13" s="11"/>
      <c r="G13" s="12" t="s">
        <v>22</v>
      </c>
      <c r="H13" s="2"/>
      <c r="I13" s="2"/>
    </row>
    <row r="14" spans="5:9" x14ac:dyDescent="0.25">
      <c r="E14" s="15"/>
      <c r="I14" s="15"/>
    </row>
    <row r="15" spans="5:9" x14ac:dyDescent="0.25">
      <c r="E15" s="15"/>
      <c r="I15" s="15"/>
    </row>
    <row r="16" spans="5:5" x14ac:dyDescent="0.25">
      <c r="E16" s="15"/>
    </row>
    <row r="17" spans="5:5" x14ac:dyDescent="0.25">
      <c r="E17" s="15"/>
    </row>
  </sheetData>
  <mergeCells count="7">
    <mergeCell ref="A1:B1"/>
    <mergeCell ref="D1:I1"/>
    <mergeCell ref="A2:B2"/>
    <mergeCell ref="D2:I2"/>
    <mergeCell ref="A12:C12"/>
    <mergeCell ref="G12:I12"/>
    <mergeCell ref="G13:I13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7"/>
  <sheetViews>
    <sheetView workbookViewId="0" zoomScale="100" zoomScaleNormal="100">
      <selection activeCell="A12" sqref="A12"/>
    </sheetView>
  </sheetViews>
  <sheetFormatPr defaultRowHeight="18.75" outlineLevelRow="0" outlineLevelCol="0" x14ac:dyDescent="0.3" defaultColWidth="8.85546875" customHeight="1"/>
  <cols>
    <col min="1" max="1" width="8.85546875" style="13" customWidth="1"/>
    <col min="2" max="2" width="23.42578125" style="13" customWidth="1"/>
    <col min="3" max="3" width="12" style="13" customWidth="1"/>
    <col min="4" max="5" width="8.85546875" style="13" customWidth="1"/>
    <col min="6" max="6" width="23.7109375" style="13" customWidth="1"/>
    <col min="7" max="7" width="14.28515625" style="13" customWidth="1"/>
    <col min="8" max="8" width="17.140625" style="13" customWidth="1"/>
    <col min="9" max="9" width="20.5703125" style="13" customWidth="1"/>
    <col min="10" max="16384" width="8.85546875" style="13" customWidth="1"/>
  </cols>
  <sheetData>
    <row r="1" spans="1:9" x14ac:dyDescent="0.25">
      <c r="A1" s="2" t="s">
        <v>0</v>
      </c>
      <c r="B1" s="2"/>
      <c r="C1" s="1"/>
      <c r="D1" s="3" t="s">
        <v>1</v>
      </c>
      <c r="E1" s="3"/>
      <c r="F1" s="3"/>
      <c r="G1" s="3"/>
      <c r="H1" s="3"/>
      <c r="I1" s="3"/>
    </row>
    <row r="2" spans="1:9" x14ac:dyDescent="0.25">
      <c r="A2" s="3" t="s">
        <v>2</v>
      </c>
      <c r="B2" s="3"/>
      <c r="C2" s="1"/>
      <c r="D2" s="3" t="s">
        <v>23</v>
      </c>
      <c r="E2" s="3"/>
      <c r="F2" s="3"/>
      <c r="G2" s="3"/>
      <c r="H2" s="3"/>
      <c r="I2" s="3"/>
    </row>
    <row r="3" spans="1:9" x14ac:dyDescent="0.25">
      <c r="A3" s="1"/>
      <c r="B3" s="1"/>
      <c r="C3" s="1"/>
      <c r="D3" s="1"/>
      <c r="E3" s="1"/>
      <c r="F3" s="1"/>
      <c r="G3" s="1"/>
      <c r="H3" s="1"/>
      <c r="I3" s="1"/>
    </row>
    <row r="4" spans="1:9" x14ac:dyDescent="0.25">
      <c r="A4" s="1"/>
      <c r="B4" s="1"/>
      <c r="C4" s="1"/>
      <c r="D4" s="1"/>
      <c r="E4" s="1"/>
      <c r="F4" s="1"/>
      <c r="G4" s="1"/>
      <c r="H4" s="1"/>
      <c r="I4" s="1"/>
    </row>
    <row r="5" ht="75" customHeight="1" spans="1:9" x14ac:dyDescent="0.25">
      <c r="A5" s="4" t="s">
        <v>4</v>
      </c>
      <c r="B5" s="5" t="s">
        <v>5</v>
      </c>
      <c r="C5" s="5" t="s">
        <v>6</v>
      </c>
      <c r="D5" s="5" t="s">
        <v>7</v>
      </c>
      <c r="E5" s="5" t="s">
        <v>8</v>
      </c>
      <c r="F5" s="5" t="s">
        <v>9</v>
      </c>
      <c r="G5" s="5" t="s">
        <v>10</v>
      </c>
      <c r="H5" s="5" t="s">
        <v>11</v>
      </c>
      <c r="I5" s="5" t="s">
        <v>12</v>
      </c>
    </row>
    <row r="6" ht="37.5" customHeight="1" spans="1:9" x14ac:dyDescent="0.25">
      <c r="A6" s="6">
        <v>1</v>
      </c>
      <c r="B6" s="7" t="s">
        <v>24</v>
      </c>
      <c r="C6" s="8">
        <v>90</v>
      </c>
      <c r="D6" s="8">
        <v>90</v>
      </c>
      <c r="E6" s="8">
        <f>AVERAGE(C6:D6)</f>
        <v>90</v>
      </c>
      <c r="F6" s="8">
        <v>5</v>
      </c>
      <c r="G6" s="8">
        <v>3</v>
      </c>
      <c r="H6" s="8">
        <f>ROUND(E6 +F6 - G6,2)</f>
        <v>92</v>
      </c>
      <c r="I6" s="8" t="str">
        <f>IF(H6&gt;90,"Hoàn thành xuất sắc",IF(H6&gt;=75,"Hoàn thành tốt",IF(H6&gt;=60,"Hoàn thành","Không hoàn thành")))</f>
        <v>Hoàn thành xuất sắc</v>
      </c>
    </row>
    <row r="7" spans="1:9" x14ac:dyDescent="0.25">
      <c r="A7" s="6">
        <v>2</v>
      </c>
      <c r="B7" s="7" t="s">
        <v>25</v>
      </c>
      <c r="C7" s="8">
        <v>40</v>
      </c>
      <c r="D7" s="8">
        <v>80</v>
      </c>
      <c r="E7" s="8">
        <f t="shared" ref="E7:E10" si="0">AVERAGE(C7:D7)</f>
        <v>60</v>
      </c>
      <c r="F7" s="8">
        <v>3</v>
      </c>
      <c r="G7" s="8">
        <v>3</v>
      </c>
      <c r="H7" s="8">
        <f t="shared" ref="H7:H10" si="1">ROUND(E7 +F7 - G7,2)</f>
        <v>60</v>
      </c>
      <c r="I7" s="8" t="str">
        <f t="shared" ref="I7:I10" si="2">IF(H7&gt;90,"Hoàn thành xuất sắc",IF(H7&gt;=75,"Hoàn thành tốt",IF(H7&gt;=60,"Hoàn thành","Không hoàn thành")))</f>
        <v>Hoàn thành</v>
      </c>
    </row>
    <row r="8" spans="1:9" x14ac:dyDescent="0.25">
      <c r="A8" s="6">
        <v>3</v>
      </c>
      <c r="B8" s="9" t="s">
        <v>26</v>
      </c>
      <c r="C8" s="10">
        <v>90</v>
      </c>
      <c r="D8" s="10">
        <v>90</v>
      </c>
      <c r="E8" s="8">
        <f t="shared" si="0"/>
        <v>90</v>
      </c>
      <c r="F8" s="10">
        <v>0</v>
      </c>
      <c r="G8" s="10">
        <v>0</v>
      </c>
      <c r="H8" s="8">
        <f t="shared" si="1"/>
        <v>90</v>
      </c>
      <c r="I8" s="8" t="str">
        <f t="shared" si="2"/>
        <v>Hoàn thành tốt</v>
      </c>
    </row>
    <row r="9" spans="1:9" x14ac:dyDescent="0.25">
      <c r="A9" s="6">
        <v>4</v>
      </c>
      <c r="B9" s="9" t="s">
        <v>27</v>
      </c>
      <c r="C9" s="10">
        <v>80</v>
      </c>
      <c r="D9" s="10">
        <v>80</v>
      </c>
      <c r="E9" s="8">
        <f t="shared" si="0"/>
        <v>80</v>
      </c>
      <c r="F9" s="10">
        <v>0</v>
      </c>
      <c r="G9" s="10">
        <v>0</v>
      </c>
      <c r="H9" s="8">
        <f t="shared" si="1"/>
        <v>80</v>
      </c>
      <c r="I9" s="8" t="str">
        <f t="shared" si="2"/>
        <v>Hoàn thành tốt</v>
      </c>
    </row>
    <row r="10" spans="1:9" x14ac:dyDescent="0.25">
      <c r="A10" s="6">
        <v>5</v>
      </c>
      <c r="B10" s="9" t="s">
        <v>28</v>
      </c>
      <c r="C10" s="10">
        <v>70</v>
      </c>
      <c r="D10" s="10">
        <v>80</v>
      </c>
      <c r="E10" s="8">
        <f t="shared" si="0"/>
        <v>75</v>
      </c>
      <c r="F10" s="10">
        <v>0</v>
      </c>
      <c r="G10" s="10">
        <v>3</v>
      </c>
      <c r="H10" s="8">
        <f t="shared" si="1"/>
        <v>72</v>
      </c>
      <c r="I10" s="8" t="str">
        <f t="shared" si="2"/>
        <v>Hoàn thành</v>
      </c>
    </row>
    <row r="11" spans="5:9" x14ac:dyDescent="0.25">
      <c r="E11" s="15"/>
      <c r="I11" s="15"/>
    </row>
    <row r="12" spans="1:9" s="1" customFormat="1" x14ac:dyDescent="0.25">
      <c r="A12" s="3" t="s">
        <v>20</v>
      </c>
      <c r="B12" s="3"/>
      <c r="C12" s="3"/>
      <c r="E12" s="11"/>
      <c r="G12" s="3" t="s">
        <v>21</v>
      </c>
      <c r="H12" s="3"/>
      <c r="I12" s="3"/>
    </row>
    <row r="13" spans="5:9" s="1" customFormat="1" x14ac:dyDescent="0.25">
      <c r="E13" s="11"/>
      <c r="G13" s="12" t="s">
        <v>22</v>
      </c>
      <c r="H13" s="2"/>
      <c r="I13" s="2"/>
    </row>
    <row r="14" spans="5:9" x14ac:dyDescent="0.25">
      <c r="E14" s="15"/>
      <c r="I14" s="15"/>
    </row>
    <row r="15" spans="5:9" x14ac:dyDescent="0.25">
      <c r="E15" s="15"/>
      <c r="I15" s="15"/>
    </row>
    <row r="16" spans="5:5" x14ac:dyDescent="0.25">
      <c r="E16" s="15"/>
    </row>
    <row r="17" spans="5:5" x14ac:dyDescent="0.25">
      <c r="E17" s="15"/>
    </row>
  </sheetData>
  <mergeCells count="7">
    <mergeCell ref="A1:B1"/>
    <mergeCell ref="D1:I1"/>
    <mergeCell ref="A2:B2"/>
    <mergeCell ref="D2:I2"/>
    <mergeCell ref="A12:C12"/>
    <mergeCell ref="G12:I12"/>
    <mergeCell ref="G13:I13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7"/>
  <sheetViews>
    <sheetView workbookViewId="0" zoomScale="100" zoomScaleNormal="100">
      <selection activeCell="A12" sqref="A12"/>
    </sheetView>
  </sheetViews>
  <sheetFormatPr defaultRowHeight="18.75" outlineLevelRow="0" outlineLevelCol="0" x14ac:dyDescent="0.3" defaultColWidth="8.85546875" customHeight="1"/>
  <cols>
    <col min="1" max="1" width="8.85546875" style="13" customWidth="1"/>
    <col min="2" max="2" width="23.42578125" style="13" customWidth="1"/>
    <col min="3" max="3" width="12" style="13" customWidth="1"/>
    <col min="4" max="5" width="8.85546875" style="13" customWidth="1"/>
    <col min="6" max="6" width="23.7109375" style="13" customWidth="1"/>
    <col min="7" max="7" width="14.28515625" style="13" customWidth="1"/>
    <col min="8" max="8" width="17.140625" style="13" customWidth="1"/>
    <col min="9" max="9" width="20.5703125" style="13" customWidth="1"/>
    <col min="10" max="16384" width="8.85546875" style="13" customWidth="1"/>
  </cols>
  <sheetData>
    <row r="1" spans="1:9" x14ac:dyDescent="0.25">
      <c r="A1" s="2" t="s">
        <v>0</v>
      </c>
      <c r="B1" s="2"/>
      <c r="C1" s="1"/>
      <c r="D1" s="3" t="s">
        <v>1</v>
      </c>
      <c r="E1" s="3"/>
      <c r="F1" s="3"/>
      <c r="G1" s="3"/>
      <c r="H1" s="3"/>
      <c r="I1" s="3"/>
    </row>
    <row r="2" spans="1:9" x14ac:dyDescent="0.25">
      <c r="A2" s="3" t="s">
        <v>2</v>
      </c>
      <c r="B2" s="3"/>
      <c r="C2" s="1"/>
      <c r="D2" s="3" t="s">
        <v>23</v>
      </c>
      <c r="E2" s="3"/>
      <c r="F2" s="3"/>
      <c r="G2" s="3"/>
      <c r="H2" s="3"/>
      <c r="I2" s="3"/>
    </row>
    <row r="3" spans="1:9" x14ac:dyDescent="0.25">
      <c r="A3" s="1"/>
      <c r="B3" s="1"/>
      <c r="C3" s="1"/>
      <c r="D3" s="1"/>
      <c r="E3" s="1"/>
      <c r="F3" s="1"/>
      <c r="G3" s="1"/>
      <c r="H3" s="1"/>
      <c r="I3" s="1"/>
    </row>
    <row r="4" spans="1:9" x14ac:dyDescent="0.25">
      <c r="A4" s="1"/>
      <c r="B4" s="1"/>
      <c r="C4" s="1"/>
      <c r="D4" s="1"/>
      <c r="E4" s="1"/>
      <c r="F4" s="1"/>
      <c r="G4" s="1"/>
      <c r="H4" s="1"/>
      <c r="I4" s="1"/>
    </row>
    <row r="5" ht="75" customHeight="1" spans="1:9" x14ac:dyDescent="0.25">
      <c r="A5" s="4" t="s">
        <v>4</v>
      </c>
      <c r="B5" s="5" t="s">
        <v>5</v>
      </c>
      <c r="C5" s="5" t="s">
        <v>6</v>
      </c>
      <c r="D5" s="5" t="s">
        <v>7</v>
      </c>
      <c r="E5" s="5" t="s">
        <v>8</v>
      </c>
      <c r="F5" s="5" t="s">
        <v>9</v>
      </c>
      <c r="G5" s="5" t="s">
        <v>10</v>
      </c>
      <c r="H5" s="5" t="s">
        <v>11</v>
      </c>
      <c r="I5" s="5" t="s">
        <v>12</v>
      </c>
    </row>
    <row r="6" ht="37.5" customHeight="1" spans="1:9" x14ac:dyDescent="0.25">
      <c r="A6" s="6">
        <v>1</v>
      </c>
      <c r="B6" s="7" t="s">
        <v>24</v>
      </c>
      <c r="C6" s="8">
        <v>90</v>
      </c>
      <c r="D6" s="8">
        <v>90</v>
      </c>
      <c r="E6" s="8">
        <f>AVERAGE(C6:D6)</f>
        <v>90</v>
      </c>
      <c r="F6" s="8">
        <v>5</v>
      </c>
      <c r="G6" s="8">
        <v>3</v>
      </c>
      <c r="H6" s="8">
        <f>ROUND(E6 +F6 - G6,2)</f>
        <v>92</v>
      </c>
      <c r="I6" s="8" t="str">
        <f>IF(H6&gt;90,"Hoàn thành xuất sắc",IF(H6&gt;=75,"Hoàn thành tốt",IF(H6&gt;=60,"Hoàn thành","Không hoàn thành")))</f>
        <v>Hoàn thành xuất sắc</v>
      </c>
    </row>
    <row r="7" spans="1:9" x14ac:dyDescent="0.25">
      <c r="A7" s="6">
        <v>2</v>
      </c>
      <c r="B7" s="7" t="s">
        <v>25</v>
      </c>
      <c r="C7" s="8">
        <v>40</v>
      </c>
      <c r="D7" s="8">
        <v>80</v>
      </c>
      <c r="E7" s="8">
        <f t="shared" ref="E7:E10" si="0">AVERAGE(C7:D7)</f>
        <v>60</v>
      </c>
      <c r="F7" s="8">
        <v>3</v>
      </c>
      <c r="G7" s="8">
        <v>3</v>
      </c>
      <c r="H7" s="8">
        <f t="shared" ref="H7:H10" si="1">ROUND(E7 +F7 - G7,2)</f>
        <v>60</v>
      </c>
      <c r="I7" s="8" t="str">
        <f t="shared" ref="I7:I10" si="2">IF(H7&gt;90,"Hoàn thành xuất sắc",IF(H7&gt;=75,"Hoàn thành tốt",IF(H7&gt;=60,"Hoàn thành","Không hoàn thành")))</f>
        <v>Hoàn thành</v>
      </c>
    </row>
    <row r="8" spans="1:9" x14ac:dyDescent="0.25">
      <c r="A8" s="6">
        <v>3</v>
      </c>
      <c r="B8" s="9" t="s">
        <v>26</v>
      </c>
      <c r="C8" s="10">
        <v>90</v>
      </c>
      <c r="D8" s="10">
        <v>90</v>
      </c>
      <c r="E8" s="8">
        <f t="shared" si="0"/>
        <v>90</v>
      </c>
      <c r="F8" s="10">
        <v>0</v>
      </c>
      <c r="G8" s="10">
        <v>0</v>
      </c>
      <c r="H8" s="8">
        <f t="shared" si="1"/>
        <v>90</v>
      </c>
      <c r="I8" s="8" t="str">
        <f t="shared" si="2"/>
        <v>Hoàn thành tốt</v>
      </c>
    </row>
    <row r="9" spans="1:9" x14ac:dyDescent="0.25">
      <c r="A9" s="6">
        <v>4</v>
      </c>
      <c r="B9" s="9" t="s">
        <v>27</v>
      </c>
      <c r="C9" s="10">
        <v>80</v>
      </c>
      <c r="D9" s="10">
        <v>80</v>
      </c>
      <c r="E9" s="8">
        <f t="shared" si="0"/>
        <v>80</v>
      </c>
      <c r="F9" s="10">
        <v>0</v>
      </c>
      <c r="G9" s="10">
        <v>0</v>
      </c>
      <c r="H9" s="8">
        <f t="shared" si="1"/>
        <v>80</v>
      </c>
      <c r="I9" s="8" t="str">
        <f t="shared" si="2"/>
        <v>Hoàn thành tốt</v>
      </c>
    </row>
    <row r="10" spans="1:9" x14ac:dyDescent="0.25">
      <c r="A10" s="6">
        <v>5</v>
      </c>
      <c r="B10" s="9" t="s">
        <v>28</v>
      </c>
      <c r="C10" s="10">
        <v>70</v>
      </c>
      <c r="D10" s="10">
        <v>80</v>
      </c>
      <c r="E10" s="8">
        <f t="shared" si="0"/>
        <v>75</v>
      </c>
      <c r="F10" s="10">
        <v>0</v>
      </c>
      <c r="G10" s="10">
        <v>3</v>
      </c>
      <c r="H10" s="8">
        <f t="shared" si="1"/>
        <v>72</v>
      </c>
      <c r="I10" s="8" t="str">
        <f t="shared" si="2"/>
        <v>Hoàn thành</v>
      </c>
    </row>
    <row r="11" spans="5:9" x14ac:dyDescent="0.25">
      <c r="E11" s="15"/>
      <c r="I11" s="15"/>
    </row>
    <row r="12" spans="1:9" s="1" customFormat="1" x14ac:dyDescent="0.25">
      <c r="A12" s="3" t="s">
        <v>20</v>
      </c>
      <c r="B12" s="3"/>
      <c r="C12" s="3"/>
      <c r="E12" s="11"/>
      <c r="G12" s="3" t="s">
        <v>21</v>
      </c>
      <c r="H12" s="3"/>
      <c r="I12" s="3"/>
    </row>
    <row r="13" spans="5:9" s="1" customFormat="1" x14ac:dyDescent="0.25">
      <c r="E13" s="11"/>
      <c r="G13" s="12" t="s">
        <v>22</v>
      </c>
      <c r="H13" s="2"/>
      <c r="I13" s="2"/>
    </row>
    <row r="14" spans="5:9" x14ac:dyDescent="0.25">
      <c r="E14" s="15"/>
      <c r="I14" s="15"/>
    </row>
    <row r="15" spans="5:9" x14ac:dyDescent="0.25">
      <c r="E15" s="15"/>
      <c r="I15" s="15"/>
    </row>
    <row r="16" spans="5:5" x14ac:dyDescent="0.25">
      <c r="E16" s="15"/>
    </row>
    <row r="17" spans="5:5" x14ac:dyDescent="0.25">
      <c r="E17" s="15"/>
    </row>
  </sheetData>
  <mergeCells count="7">
    <mergeCell ref="A1:B1"/>
    <mergeCell ref="D1:I1"/>
    <mergeCell ref="A2:B2"/>
    <mergeCell ref="D2:I2"/>
    <mergeCell ref="A12:C12"/>
    <mergeCell ref="G12:I12"/>
    <mergeCell ref="G13:I13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7"/>
  <sheetViews>
    <sheetView workbookViewId="0" zoomScale="100" zoomScaleNormal="100">
      <selection activeCell="A12" sqref="A12"/>
    </sheetView>
  </sheetViews>
  <sheetFormatPr defaultRowHeight="18.75" outlineLevelRow="0" outlineLevelCol="0" x14ac:dyDescent="0.3" defaultColWidth="8.85546875" customHeight="1"/>
  <cols>
    <col min="1" max="1" width="8.85546875" style="13" customWidth="1"/>
    <col min="2" max="2" width="23.42578125" style="13" customWidth="1"/>
    <col min="3" max="3" width="12" style="13" customWidth="1"/>
    <col min="4" max="5" width="8.85546875" style="13" customWidth="1"/>
    <col min="6" max="6" width="23.7109375" style="13" customWidth="1"/>
    <col min="7" max="7" width="14.28515625" style="13" customWidth="1"/>
    <col min="8" max="8" width="17.140625" style="13" customWidth="1"/>
    <col min="9" max="9" width="20.5703125" style="13" customWidth="1"/>
    <col min="10" max="16384" width="8.85546875" style="13" customWidth="1"/>
  </cols>
  <sheetData>
    <row r="1" spans="1:9" x14ac:dyDescent="0.25">
      <c r="A1" s="2" t="s">
        <v>0</v>
      </c>
      <c r="B1" s="2"/>
      <c r="C1" s="1"/>
      <c r="D1" s="3" t="s">
        <v>1</v>
      </c>
      <c r="E1" s="3"/>
      <c r="F1" s="3"/>
      <c r="G1" s="3"/>
      <c r="H1" s="3"/>
      <c r="I1" s="3"/>
    </row>
    <row r="2" spans="1:9" x14ac:dyDescent="0.25">
      <c r="A2" s="3" t="s">
        <v>2</v>
      </c>
      <c r="B2" s="3"/>
      <c r="C2" s="1"/>
      <c r="D2" s="3" t="s">
        <v>23</v>
      </c>
      <c r="E2" s="3"/>
      <c r="F2" s="3"/>
      <c r="G2" s="3"/>
      <c r="H2" s="3"/>
      <c r="I2" s="3"/>
    </row>
    <row r="3" spans="1:9" x14ac:dyDescent="0.25">
      <c r="A3" s="1"/>
      <c r="B3" s="1"/>
      <c r="C3" s="1"/>
      <c r="D3" s="1"/>
      <c r="E3" s="1"/>
      <c r="F3" s="1"/>
      <c r="G3" s="1"/>
      <c r="H3" s="1"/>
      <c r="I3" s="1"/>
    </row>
    <row r="4" spans="1:9" x14ac:dyDescent="0.25">
      <c r="A4" s="1"/>
      <c r="B4" s="1"/>
      <c r="C4" s="1"/>
      <c r="D4" s="1"/>
      <c r="E4" s="1"/>
      <c r="F4" s="1"/>
      <c r="G4" s="1"/>
      <c r="H4" s="1"/>
      <c r="I4" s="1"/>
    </row>
    <row r="5" ht="75" customHeight="1" spans="1:9" x14ac:dyDescent="0.25">
      <c r="A5" s="4" t="s">
        <v>4</v>
      </c>
      <c r="B5" s="5" t="s">
        <v>5</v>
      </c>
      <c r="C5" s="5" t="s">
        <v>6</v>
      </c>
      <c r="D5" s="5" t="s">
        <v>7</v>
      </c>
      <c r="E5" s="5" t="s">
        <v>8</v>
      </c>
      <c r="F5" s="5" t="s">
        <v>9</v>
      </c>
      <c r="G5" s="5" t="s">
        <v>10</v>
      </c>
      <c r="H5" s="5" t="s">
        <v>11</v>
      </c>
      <c r="I5" s="5" t="s">
        <v>12</v>
      </c>
    </row>
    <row r="6" ht="37.5" customHeight="1" spans="1:9" x14ac:dyDescent="0.25">
      <c r="A6" s="6">
        <v>1</v>
      </c>
      <c r="B6" s="7" t="s">
        <v>24</v>
      </c>
      <c r="C6" s="8">
        <v>90</v>
      </c>
      <c r="D6" s="8">
        <v>90</v>
      </c>
      <c r="E6" s="8">
        <f>AVERAGE(C6:D6)</f>
        <v>90</v>
      </c>
      <c r="F6" s="8">
        <v>5</v>
      </c>
      <c r="G6" s="8">
        <v>3</v>
      </c>
      <c r="H6" s="8">
        <f>ROUND(E6 +F6 - G6,2)</f>
        <v>92</v>
      </c>
      <c r="I6" s="8" t="str">
        <f>IF(H6&gt;90,"Hoàn thành xuất sắc",IF(H6&gt;=75,"Hoàn thành tốt",IF(H6&gt;=60,"Hoàn thành","Không hoàn thành")))</f>
        <v>Hoàn thành xuất sắc</v>
      </c>
    </row>
    <row r="7" spans="1:9" x14ac:dyDescent="0.25">
      <c r="A7" s="6">
        <v>2</v>
      </c>
      <c r="B7" s="7" t="s">
        <v>25</v>
      </c>
      <c r="C7" s="8">
        <v>40</v>
      </c>
      <c r="D7" s="8">
        <v>80</v>
      </c>
      <c r="E7" s="8">
        <f t="shared" ref="E7:E10" si="0">AVERAGE(C7:D7)</f>
        <v>60</v>
      </c>
      <c r="F7" s="8">
        <v>3</v>
      </c>
      <c r="G7" s="8">
        <v>3</v>
      </c>
      <c r="H7" s="8">
        <f t="shared" ref="H7:H10" si="1">ROUND(E7 +F7 - G7,2)</f>
        <v>60</v>
      </c>
      <c r="I7" s="8" t="str">
        <f t="shared" ref="I7:I10" si="2">IF(H7&gt;90,"Hoàn thành xuất sắc",IF(H7&gt;=75,"Hoàn thành tốt",IF(H7&gt;=60,"Hoàn thành","Không hoàn thành")))</f>
        <v>Hoàn thành</v>
      </c>
    </row>
    <row r="8" spans="1:9" x14ac:dyDescent="0.25">
      <c r="A8" s="6">
        <v>3</v>
      </c>
      <c r="B8" s="9" t="s">
        <v>26</v>
      </c>
      <c r="C8" s="10">
        <v>90</v>
      </c>
      <c r="D8" s="10">
        <v>90</v>
      </c>
      <c r="E8" s="8">
        <f t="shared" si="0"/>
        <v>90</v>
      </c>
      <c r="F8" s="10">
        <v>0</v>
      </c>
      <c r="G8" s="10">
        <v>0</v>
      </c>
      <c r="H8" s="8">
        <f t="shared" si="1"/>
        <v>90</v>
      </c>
      <c r="I8" s="8" t="str">
        <f t="shared" si="2"/>
        <v>Hoàn thành tốt</v>
      </c>
    </row>
    <row r="9" spans="1:9" x14ac:dyDescent="0.25">
      <c r="A9" s="6">
        <v>4</v>
      </c>
      <c r="B9" s="9" t="s">
        <v>27</v>
      </c>
      <c r="C9" s="10">
        <v>80</v>
      </c>
      <c r="D9" s="10">
        <v>80</v>
      </c>
      <c r="E9" s="8">
        <f t="shared" si="0"/>
        <v>80</v>
      </c>
      <c r="F9" s="10">
        <v>0</v>
      </c>
      <c r="G9" s="10">
        <v>0</v>
      </c>
      <c r="H9" s="8">
        <f t="shared" si="1"/>
        <v>80</v>
      </c>
      <c r="I9" s="8" t="str">
        <f t="shared" si="2"/>
        <v>Hoàn thành tốt</v>
      </c>
    </row>
    <row r="10" spans="1:9" x14ac:dyDescent="0.25">
      <c r="A10" s="6">
        <v>5</v>
      </c>
      <c r="B10" s="9" t="s">
        <v>28</v>
      </c>
      <c r="C10" s="10">
        <v>70</v>
      </c>
      <c r="D10" s="10">
        <v>80</v>
      </c>
      <c r="E10" s="8">
        <f t="shared" si="0"/>
        <v>75</v>
      </c>
      <c r="F10" s="10">
        <v>0</v>
      </c>
      <c r="G10" s="10">
        <v>3</v>
      </c>
      <c r="H10" s="8">
        <f t="shared" si="1"/>
        <v>72</v>
      </c>
      <c r="I10" s="8" t="str">
        <f t="shared" si="2"/>
        <v>Hoàn thành</v>
      </c>
    </row>
    <row r="11" spans="5:9" x14ac:dyDescent="0.25">
      <c r="E11" s="15"/>
      <c r="I11" s="15"/>
    </row>
    <row r="12" spans="1:9" s="1" customFormat="1" x14ac:dyDescent="0.25">
      <c r="A12" s="3" t="s">
        <v>20</v>
      </c>
      <c r="B12" s="3"/>
      <c r="C12" s="3"/>
      <c r="E12" s="11"/>
      <c r="G12" s="3" t="s">
        <v>21</v>
      </c>
      <c r="H12" s="3"/>
      <c r="I12" s="3"/>
    </row>
    <row r="13" spans="5:9" s="1" customFormat="1" x14ac:dyDescent="0.25">
      <c r="E13" s="11"/>
      <c r="G13" s="12" t="s">
        <v>22</v>
      </c>
      <c r="H13" s="2"/>
      <c r="I13" s="2"/>
    </row>
    <row r="14" spans="5:9" x14ac:dyDescent="0.25">
      <c r="E14" s="15"/>
      <c r="I14" s="15"/>
    </row>
    <row r="15" spans="5:9" x14ac:dyDescent="0.25">
      <c r="E15" s="15"/>
      <c r="I15" s="15"/>
    </row>
    <row r="16" spans="5:5" x14ac:dyDescent="0.25">
      <c r="E16" s="15"/>
    </row>
    <row r="17" spans="5:5" x14ac:dyDescent="0.25">
      <c r="E17" s="15"/>
    </row>
  </sheetData>
  <mergeCells count="7">
    <mergeCell ref="A1:B1"/>
    <mergeCell ref="D1:I1"/>
    <mergeCell ref="A2:B2"/>
    <mergeCell ref="D2:I2"/>
    <mergeCell ref="A12:C12"/>
    <mergeCell ref="G12:I12"/>
    <mergeCell ref="G13:I13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7"/>
  <sheetViews>
    <sheetView workbookViewId="0" zoomScale="100" zoomScaleNormal="100">
      <selection activeCell="A12" sqref="A12"/>
    </sheetView>
  </sheetViews>
  <sheetFormatPr defaultRowHeight="18.75" outlineLevelRow="0" outlineLevelCol="0" x14ac:dyDescent="0.3" defaultColWidth="8.85546875" customHeight="1"/>
  <cols>
    <col min="1" max="1" width="8.85546875" style="13" customWidth="1"/>
    <col min="2" max="2" width="23.42578125" style="13" customWidth="1"/>
    <col min="3" max="3" width="12" style="13" customWidth="1"/>
    <col min="4" max="5" width="8.85546875" style="13" customWidth="1"/>
    <col min="6" max="6" width="23.7109375" style="13" customWidth="1"/>
    <col min="7" max="7" width="14.28515625" style="13" customWidth="1"/>
    <col min="8" max="8" width="17.140625" style="13" customWidth="1"/>
    <col min="9" max="9" width="20.5703125" style="13" customWidth="1"/>
    <col min="10" max="16384" width="8.85546875" style="13" customWidth="1"/>
  </cols>
  <sheetData>
    <row r="1" spans="1:9" x14ac:dyDescent="0.25">
      <c r="A1" s="2" t="s">
        <v>0</v>
      </c>
      <c r="B1" s="2"/>
      <c r="C1" s="1"/>
      <c r="D1" s="3" t="s">
        <v>1</v>
      </c>
      <c r="E1" s="3"/>
      <c r="F1" s="3"/>
      <c r="G1" s="3"/>
      <c r="H1" s="3"/>
      <c r="I1" s="3"/>
    </row>
    <row r="2" spans="1:9" x14ac:dyDescent="0.25">
      <c r="A2" s="3" t="s">
        <v>2</v>
      </c>
      <c r="B2" s="3"/>
      <c r="C2" s="1"/>
      <c r="D2" s="3" t="s">
        <v>23</v>
      </c>
      <c r="E2" s="3"/>
      <c r="F2" s="3"/>
      <c r="G2" s="3"/>
      <c r="H2" s="3"/>
      <c r="I2" s="3"/>
    </row>
    <row r="3" spans="1:9" x14ac:dyDescent="0.25">
      <c r="A3" s="1"/>
      <c r="B3" s="1"/>
      <c r="C3" s="1"/>
      <c r="D3" s="1"/>
      <c r="E3" s="1"/>
      <c r="F3" s="1"/>
      <c r="G3" s="1"/>
      <c r="H3" s="1"/>
      <c r="I3" s="1"/>
    </row>
    <row r="4" spans="1:9" x14ac:dyDescent="0.25">
      <c r="A4" s="1"/>
      <c r="B4" s="1"/>
      <c r="C4" s="1"/>
      <c r="D4" s="1"/>
      <c r="E4" s="1"/>
      <c r="F4" s="1"/>
      <c r="G4" s="1"/>
      <c r="H4" s="1"/>
      <c r="I4" s="1"/>
    </row>
    <row r="5" ht="75" customHeight="1" spans="1:9" x14ac:dyDescent="0.25">
      <c r="A5" s="4" t="s">
        <v>4</v>
      </c>
      <c r="B5" s="5" t="s">
        <v>5</v>
      </c>
      <c r="C5" s="5" t="s">
        <v>6</v>
      </c>
      <c r="D5" s="5" t="s">
        <v>7</v>
      </c>
      <c r="E5" s="5" t="s">
        <v>8</v>
      </c>
      <c r="F5" s="5" t="s">
        <v>9</v>
      </c>
      <c r="G5" s="5" t="s">
        <v>10</v>
      </c>
      <c r="H5" s="5" t="s">
        <v>11</v>
      </c>
      <c r="I5" s="5" t="s">
        <v>12</v>
      </c>
    </row>
    <row r="6" ht="37.5" customHeight="1" spans="1:9" x14ac:dyDescent="0.25">
      <c r="A6" s="6">
        <v>1</v>
      </c>
      <c r="B6" s="7" t="s">
        <v>24</v>
      </c>
      <c r="C6" s="8">
        <v>90</v>
      </c>
      <c r="D6" s="8">
        <v>90</v>
      </c>
      <c r="E6" s="8">
        <f>AVERAGE(C6:D6)</f>
        <v>90</v>
      </c>
      <c r="F6" s="8">
        <v>5</v>
      </c>
      <c r="G6" s="8">
        <v>3</v>
      </c>
      <c r="H6" s="8">
        <f>ROUND(E6 +F6 - G6,2)</f>
        <v>92</v>
      </c>
      <c r="I6" s="8" t="str">
        <f>IF(H6&gt;90,"Hoàn thành xuất sắc",IF(H6&gt;=75,"Hoàn thành tốt",IF(H6&gt;=60,"Hoàn thành","Không hoàn thành")))</f>
        <v>Hoàn thành xuất sắc</v>
      </c>
    </row>
    <row r="7" spans="1:9" x14ac:dyDescent="0.25">
      <c r="A7" s="6">
        <v>2</v>
      </c>
      <c r="B7" s="7" t="s">
        <v>25</v>
      </c>
      <c r="C7" s="8">
        <v>40</v>
      </c>
      <c r="D7" s="8">
        <v>80</v>
      </c>
      <c r="E7" s="8">
        <f t="shared" ref="E7:E10" si="0">AVERAGE(C7:D7)</f>
        <v>60</v>
      </c>
      <c r="F7" s="8">
        <v>3</v>
      </c>
      <c r="G7" s="8">
        <v>3</v>
      </c>
      <c r="H7" s="8">
        <f t="shared" ref="H7:H10" si="1">ROUND(E7 +F7 - G7,2)</f>
        <v>60</v>
      </c>
      <c r="I7" s="8" t="str">
        <f t="shared" ref="I7:I10" si="2">IF(H7&gt;90,"Hoàn thành xuất sắc",IF(H7&gt;=75,"Hoàn thành tốt",IF(H7&gt;=60,"Hoàn thành","Không hoàn thành")))</f>
        <v>Hoàn thành</v>
      </c>
    </row>
    <row r="8" spans="1:9" x14ac:dyDescent="0.25">
      <c r="A8" s="6">
        <v>3</v>
      </c>
      <c r="B8" s="9" t="s">
        <v>26</v>
      </c>
      <c r="C8" s="10">
        <v>90</v>
      </c>
      <c r="D8" s="10">
        <v>90</v>
      </c>
      <c r="E8" s="8">
        <f t="shared" si="0"/>
        <v>90</v>
      </c>
      <c r="F8" s="10">
        <v>0</v>
      </c>
      <c r="G8" s="10">
        <v>0</v>
      </c>
      <c r="H8" s="8">
        <f t="shared" si="1"/>
        <v>90</v>
      </c>
      <c r="I8" s="8" t="str">
        <f t="shared" si="2"/>
        <v>Hoàn thành tốt</v>
      </c>
    </row>
    <row r="9" spans="1:9" x14ac:dyDescent="0.25">
      <c r="A9" s="6">
        <v>4</v>
      </c>
      <c r="B9" s="9" t="s">
        <v>27</v>
      </c>
      <c r="C9" s="10">
        <v>80</v>
      </c>
      <c r="D9" s="10">
        <v>80</v>
      </c>
      <c r="E9" s="8">
        <f t="shared" si="0"/>
        <v>80</v>
      </c>
      <c r="F9" s="10">
        <v>0</v>
      </c>
      <c r="G9" s="10">
        <v>0</v>
      </c>
      <c r="H9" s="8">
        <f t="shared" si="1"/>
        <v>80</v>
      </c>
      <c r="I9" s="8" t="str">
        <f t="shared" si="2"/>
        <v>Hoàn thành tốt</v>
      </c>
    </row>
    <row r="10" spans="1:9" x14ac:dyDescent="0.25">
      <c r="A10" s="6">
        <v>5</v>
      </c>
      <c r="B10" s="9" t="s">
        <v>28</v>
      </c>
      <c r="C10" s="10">
        <v>70</v>
      </c>
      <c r="D10" s="10">
        <v>80</v>
      </c>
      <c r="E10" s="8">
        <f t="shared" si="0"/>
        <v>75</v>
      </c>
      <c r="F10" s="10">
        <v>0</v>
      </c>
      <c r="G10" s="10">
        <v>3</v>
      </c>
      <c r="H10" s="8">
        <f t="shared" si="1"/>
        <v>72</v>
      </c>
      <c r="I10" s="8" t="str">
        <f t="shared" si="2"/>
        <v>Hoàn thành</v>
      </c>
    </row>
    <row r="11" spans="5:9" x14ac:dyDescent="0.25">
      <c r="E11" s="15"/>
      <c r="I11" s="15"/>
    </row>
    <row r="12" spans="1:9" s="1" customFormat="1" x14ac:dyDescent="0.25">
      <c r="A12" s="3" t="s">
        <v>20</v>
      </c>
      <c r="B12" s="3"/>
      <c r="C12" s="3"/>
      <c r="E12" s="11"/>
      <c r="G12" s="3" t="s">
        <v>21</v>
      </c>
      <c r="H12" s="3"/>
      <c r="I12" s="3"/>
    </row>
    <row r="13" spans="5:9" s="1" customFormat="1" x14ac:dyDescent="0.25">
      <c r="E13" s="11"/>
      <c r="G13" s="12" t="s">
        <v>22</v>
      </c>
      <c r="H13" s="2"/>
      <c r="I13" s="2"/>
    </row>
    <row r="14" spans="5:9" x14ac:dyDescent="0.25">
      <c r="E14" s="15"/>
      <c r="I14" s="15"/>
    </row>
    <row r="15" spans="5:9" x14ac:dyDescent="0.25">
      <c r="E15" s="15"/>
      <c r="I15" s="15"/>
    </row>
    <row r="16" spans="5:5" x14ac:dyDescent="0.25">
      <c r="E16" s="15"/>
    </row>
    <row r="17" spans="5:5" x14ac:dyDescent="0.25">
      <c r="E17" s="15"/>
    </row>
  </sheetData>
  <mergeCells count="7">
    <mergeCell ref="A1:B1"/>
    <mergeCell ref="D1:I1"/>
    <mergeCell ref="A2:B2"/>
    <mergeCell ref="D2:I2"/>
    <mergeCell ref="A12:C12"/>
    <mergeCell ref="G12:I12"/>
    <mergeCell ref="G13:I13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7"/>
  <sheetViews>
    <sheetView workbookViewId="0" zoomScale="100" zoomScaleNormal="100">
      <selection activeCell="A12" sqref="A12"/>
    </sheetView>
  </sheetViews>
  <sheetFormatPr defaultRowHeight="18.75" outlineLevelRow="0" outlineLevelCol="0" x14ac:dyDescent="0.3" defaultColWidth="8.85546875" customHeight="1"/>
  <cols>
    <col min="1" max="1" width="8.85546875" style="13" customWidth="1"/>
    <col min="2" max="2" width="23.42578125" style="13" customWidth="1"/>
    <col min="3" max="3" width="12" style="13" customWidth="1"/>
    <col min="4" max="5" width="8.85546875" style="13" customWidth="1"/>
    <col min="6" max="6" width="23.7109375" style="13" customWidth="1"/>
    <col min="7" max="7" width="14.28515625" style="13" customWidth="1"/>
    <col min="8" max="8" width="17.140625" style="13" customWidth="1"/>
    <col min="9" max="9" width="20.5703125" style="13" customWidth="1"/>
    <col min="10" max="16384" width="8.85546875" style="13" customWidth="1"/>
  </cols>
  <sheetData>
    <row r="1" spans="1:9" x14ac:dyDescent="0.25">
      <c r="A1" s="2" t="s">
        <v>0</v>
      </c>
      <c r="B1" s="2"/>
      <c r="C1" s="1"/>
      <c r="D1" s="3" t="s">
        <v>1</v>
      </c>
      <c r="E1" s="3"/>
      <c r="F1" s="3"/>
      <c r="G1" s="3"/>
      <c r="H1" s="3"/>
      <c r="I1" s="3"/>
    </row>
    <row r="2" spans="1:9" x14ac:dyDescent="0.25">
      <c r="A2" s="3" t="s">
        <v>2</v>
      </c>
      <c r="B2" s="3"/>
      <c r="C2" s="1"/>
      <c r="D2" s="3" t="s">
        <v>23</v>
      </c>
      <c r="E2" s="3"/>
      <c r="F2" s="3"/>
      <c r="G2" s="3"/>
      <c r="H2" s="3"/>
      <c r="I2" s="3"/>
    </row>
    <row r="3" spans="1:9" x14ac:dyDescent="0.25">
      <c r="A3" s="1"/>
      <c r="B3" s="1"/>
      <c r="C3" s="1"/>
      <c r="D3" s="1"/>
      <c r="E3" s="1"/>
      <c r="F3" s="1"/>
      <c r="G3" s="1"/>
      <c r="H3" s="1"/>
      <c r="I3" s="1"/>
    </row>
    <row r="4" spans="1:9" x14ac:dyDescent="0.25">
      <c r="A4" s="1"/>
      <c r="B4" s="1"/>
      <c r="C4" s="1"/>
      <c r="D4" s="1"/>
      <c r="E4" s="1"/>
      <c r="F4" s="1"/>
      <c r="G4" s="1"/>
      <c r="H4" s="1"/>
      <c r="I4" s="1"/>
    </row>
    <row r="5" ht="75" customHeight="1" spans="1:9" x14ac:dyDescent="0.25">
      <c r="A5" s="4" t="s">
        <v>4</v>
      </c>
      <c r="B5" s="5" t="s">
        <v>5</v>
      </c>
      <c r="C5" s="5" t="s">
        <v>6</v>
      </c>
      <c r="D5" s="5" t="s">
        <v>7</v>
      </c>
      <c r="E5" s="5" t="s">
        <v>8</v>
      </c>
      <c r="F5" s="5" t="s">
        <v>9</v>
      </c>
      <c r="G5" s="5" t="s">
        <v>10</v>
      </c>
      <c r="H5" s="5" t="s">
        <v>11</v>
      </c>
      <c r="I5" s="5" t="s">
        <v>12</v>
      </c>
    </row>
    <row r="6" ht="37.5" customHeight="1" spans="1:9" x14ac:dyDescent="0.25">
      <c r="A6" s="6">
        <v>1</v>
      </c>
      <c r="B6" s="7" t="s">
        <v>24</v>
      </c>
      <c r="C6" s="8">
        <v>90</v>
      </c>
      <c r="D6" s="8">
        <v>90</v>
      </c>
      <c r="E6" s="8">
        <f>AVERAGE(C6:D6)</f>
        <v>90</v>
      </c>
      <c r="F6" s="8">
        <v>5</v>
      </c>
      <c r="G6" s="8">
        <v>3</v>
      </c>
      <c r="H6" s="8">
        <f>ROUND(E6 +F6 - G6,2)</f>
        <v>92</v>
      </c>
      <c r="I6" s="8" t="str">
        <f>IF(H6&gt;90,"Hoàn thành xuất sắc",IF(H6&gt;=75,"Hoàn thành tốt",IF(H6&gt;=60,"Hoàn thành","Không hoàn thành")))</f>
        <v>Hoàn thành xuất sắc</v>
      </c>
    </row>
    <row r="7" spans="1:9" x14ac:dyDescent="0.25">
      <c r="A7" s="6">
        <v>2</v>
      </c>
      <c r="B7" s="7" t="s">
        <v>25</v>
      </c>
      <c r="C7" s="8">
        <v>40</v>
      </c>
      <c r="D7" s="8">
        <v>80</v>
      </c>
      <c r="E7" s="8">
        <f t="shared" ref="E7:E10" si="0">AVERAGE(C7:D7)</f>
        <v>60</v>
      </c>
      <c r="F7" s="8">
        <v>3</v>
      </c>
      <c r="G7" s="8">
        <v>3</v>
      </c>
      <c r="H7" s="8">
        <f t="shared" ref="H7:H10" si="1">ROUND(E7 +F7 - G7,2)</f>
        <v>60</v>
      </c>
      <c r="I7" s="8" t="str">
        <f t="shared" ref="I7:I10" si="2">IF(H7&gt;90,"Hoàn thành xuất sắc",IF(H7&gt;=75,"Hoàn thành tốt",IF(H7&gt;=60,"Hoàn thành","Không hoàn thành")))</f>
        <v>Hoàn thành</v>
      </c>
    </row>
    <row r="8" spans="1:9" x14ac:dyDescent="0.25">
      <c r="A8" s="6">
        <v>3</v>
      </c>
      <c r="B8" s="9" t="s">
        <v>26</v>
      </c>
      <c r="C8" s="10">
        <v>90</v>
      </c>
      <c r="D8" s="10">
        <v>90</v>
      </c>
      <c r="E8" s="8">
        <f t="shared" si="0"/>
        <v>90</v>
      </c>
      <c r="F8" s="10">
        <v>0</v>
      </c>
      <c r="G8" s="10">
        <v>0</v>
      </c>
      <c r="H8" s="8">
        <f t="shared" si="1"/>
        <v>90</v>
      </c>
      <c r="I8" s="8" t="str">
        <f t="shared" si="2"/>
        <v>Hoàn thành tốt</v>
      </c>
    </row>
    <row r="9" spans="1:9" x14ac:dyDescent="0.25">
      <c r="A9" s="6">
        <v>4</v>
      </c>
      <c r="B9" s="9" t="s">
        <v>27</v>
      </c>
      <c r="C9" s="10">
        <v>80</v>
      </c>
      <c r="D9" s="10">
        <v>80</v>
      </c>
      <c r="E9" s="8">
        <f t="shared" si="0"/>
        <v>80</v>
      </c>
      <c r="F9" s="10">
        <v>0</v>
      </c>
      <c r="G9" s="10">
        <v>0</v>
      </c>
      <c r="H9" s="8">
        <f t="shared" si="1"/>
        <v>80</v>
      </c>
      <c r="I9" s="8" t="str">
        <f t="shared" si="2"/>
        <v>Hoàn thành tốt</v>
      </c>
    </row>
    <row r="10" spans="1:9" x14ac:dyDescent="0.25">
      <c r="A10" s="6">
        <v>5</v>
      </c>
      <c r="B10" s="9" t="s">
        <v>28</v>
      </c>
      <c r="C10" s="10">
        <v>70</v>
      </c>
      <c r="D10" s="10">
        <v>80</v>
      </c>
      <c r="E10" s="8">
        <f t="shared" si="0"/>
        <v>75</v>
      </c>
      <c r="F10" s="10">
        <v>0</v>
      </c>
      <c r="G10" s="10">
        <v>3</v>
      </c>
      <c r="H10" s="8">
        <f t="shared" si="1"/>
        <v>72</v>
      </c>
      <c r="I10" s="8" t="str">
        <f t="shared" si="2"/>
        <v>Hoàn thành</v>
      </c>
    </row>
    <row r="11" spans="5:9" x14ac:dyDescent="0.25">
      <c r="E11" s="15"/>
      <c r="I11" s="15"/>
    </row>
    <row r="12" spans="1:9" s="1" customFormat="1" x14ac:dyDescent="0.25">
      <c r="A12" s="3" t="s">
        <v>20</v>
      </c>
      <c r="B12" s="3"/>
      <c r="C12" s="3"/>
      <c r="E12" s="11"/>
      <c r="G12" s="3" t="s">
        <v>21</v>
      </c>
      <c r="H12" s="3"/>
      <c r="I12" s="3"/>
    </row>
    <row r="13" spans="5:9" s="1" customFormat="1" x14ac:dyDescent="0.25">
      <c r="E13" s="11"/>
      <c r="G13" s="12" t="s">
        <v>22</v>
      </c>
      <c r="H13" s="2"/>
      <c r="I13" s="2"/>
    </row>
    <row r="14" spans="5:9" x14ac:dyDescent="0.25">
      <c r="E14" s="15"/>
      <c r="I14" s="15"/>
    </row>
    <row r="15" spans="5:9" x14ac:dyDescent="0.25">
      <c r="E15" s="15"/>
      <c r="I15" s="15"/>
    </row>
    <row r="16" spans="5:5" x14ac:dyDescent="0.25">
      <c r="E16" s="15"/>
    </row>
    <row r="17" spans="5:5" x14ac:dyDescent="0.25">
      <c r="E17" s="15"/>
    </row>
  </sheetData>
  <mergeCells count="7">
    <mergeCell ref="A1:B1"/>
    <mergeCell ref="D1:I1"/>
    <mergeCell ref="A2:B2"/>
    <mergeCell ref="D2:I2"/>
    <mergeCell ref="A12:C12"/>
    <mergeCell ref="G12:I12"/>
    <mergeCell ref="G13:I13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7"/>
  <sheetViews>
    <sheetView workbookViewId="0" zoomScale="100" zoomScaleNormal="100">
      <selection activeCell="A12" sqref="A12"/>
    </sheetView>
  </sheetViews>
  <sheetFormatPr defaultRowHeight="18.75" outlineLevelRow="0" outlineLevelCol="0" x14ac:dyDescent="0.3" defaultColWidth="8.85546875" customHeight="1"/>
  <cols>
    <col min="1" max="1" width="8.85546875" style="13" customWidth="1"/>
    <col min="2" max="2" width="23.42578125" style="13" customWidth="1"/>
    <col min="3" max="3" width="12" style="13" customWidth="1"/>
    <col min="4" max="5" width="8.85546875" style="13" customWidth="1"/>
    <col min="6" max="6" width="23.7109375" style="13" customWidth="1"/>
    <col min="7" max="7" width="14.28515625" style="13" customWidth="1"/>
    <col min="8" max="8" width="17.140625" style="13" customWidth="1"/>
    <col min="9" max="9" width="20.5703125" style="13" customWidth="1"/>
    <col min="10" max="16384" width="8.85546875" style="13" customWidth="1"/>
  </cols>
  <sheetData>
    <row r="1" spans="1:9" x14ac:dyDescent="0.25">
      <c r="A1" s="2" t="s">
        <v>0</v>
      </c>
      <c r="B1" s="2"/>
      <c r="C1" s="1"/>
      <c r="D1" s="3" t="s">
        <v>1</v>
      </c>
      <c r="E1" s="3"/>
      <c r="F1" s="3"/>
      <c r="G1" s="3"/>
      <c r="H1" s="3"/>
      <c r="I1" s="3"/>
    </row>
    <row r="2" spans="1:9" x14ac:dyDescent="0.25">
      <c r="A2" s="3" t="s">
        <v>2</v>
      </c>
      <c r="B2" s="3"/>
      <c r="C2" s="1"/>
      <c r="D2" s="3" t="s">
        <v>23</v>
      </c>
      <c r="E2" s="3"/>
      <c r="F2" s="3"/>
      <c r="G2" s="3"/>
      <c r="H2" s="3"/>
      <c r="I2" s="3"/>
    </row>
    <row r="3" spans="1:9" x14ac:dyDescent="0.25">
      <c r="A3" s="1"/>
      <c r="B3" s="1"/>
      <c r="C3" s="1"/>
      <c r="D3" s="1"/>
      <c r="E3" s="1"/>
      <c r="F3" s="1"/>
      <c r="G3" s="1"/>
      <c r="H3" s="1"/>
      <c r="I3" s="1"/>
    </row>
    <row r="4" spans="1:9" x14ac:dyDescent="0.25">
      <c r="A4" s="1"/>
      <c r="B4" s="1"/>
      <c r="C4" s="1"/>
      <c r="D4" s="1"/>
      <c r="E4" s="1"/>
      <c r="F4" s="1"/>
      <c r="G4" s="1"/>
      <c r="H4" s="1"/>
      <c r="I4" s="1"/>
    </row>
    <row r="5" ht="75" customHeight="1" spans="1:9" x14ac:dyDescent="0.25">
      <c r="A5" s="4" t="s">
        <v>4</v>
      </c>
      <c r="B5" s="5" t="s">
        <v>5</v>
      </c>
      <c r="C5" s="5" t="s">
        <v>6</v>
      </c>
      <c r="D5" s="5" t="s">
        <v>7</v>
      </c>
      <c r="E5" s="5" t="s">
        <v>8</v>
      </c>
      <c r="F5" s="5" t="s">
        <v>9</v>
      </c>
      <c r="G5" s="5" t="s">
        <v>10</v>
      </c>
      <c r="H5" s="5" t="s">
        <v>11</v>
      </c>
      <c r="I5" s="5" t="s">
        <v>12</v>
      </c>
    </row>
    <row r="6" ht="37.5" customHeight="1" spans="1:9" x14ac:dyDescent="0.25">
      <c r="A6" s="6">
        <v>1</v>
      </c>
      <c r="B6" s="7" t="s">
        <v>24</v>
      </c>
      <c r="C6" s="8">
        <v>90</v>
      </c>
      <c r="D6" s="8">
        <v>90</v>
      </c>
      <c r="E6" s="8">
        <f>AVERAGE(C6:D6)</f>
        <v>90</v>
      </c>
      <c r="F6" s="8">
        <v>5</v>
      </c>
      <c r="G6" s="8">
        <v>3</v>
      </c>
      <c r="H6" s="8">
        <f>ROUND(E6 +F6 - G6,2)</f>
        <v>92</v>
      </c>
      <c r="I6" s="8" t="str">
        <f>IF(H6&gt;90,"Hoàn thành xuất sắc",IF(H6&gt;=75,"Hoàn thành tốt",IF(H6&gt;=60,"Hoàn thành","Không hoàn thành")))</f>
        <v>Hoàn thành xuất sắc</v>
      </c>
    </row>
    <row r="7" spans="1:9" x14ac:dyDescent="0.25">
      <c r="A7" s="6">
        <v>2</v>
      </c>
      <c r="B7" s="7" t="s">
        <v>25</v>
      </c>
      <c r="C7" s="8">
        <v>40</v>
      </c>
      <c r="D7" s="8">
        <v>80</v>
      </c>
      <c r="E7" s="8">
        <f t="shared" ref="E7:E10" si="0">AVERAGE(C7:D7)</f>
        <v>60</v>
      </c>
      <c r="F7" s="8">
        <v>3</v>
      </c>
      <c r="G7" s="8">
        <v>3</v>
      </c>
      <c r="H7" s="8">
        <f t="shared" ref="H7:H10" si="1">ROUND(E7 +F7 - G7,2)</f>
        <v>60</v>
      </c>
      <c r="I7" s="8" t="str">
        <f t="shared" ref="I7:I10" si="2">IF(H7&gt;90,"Hoàn thành xuất sắc",IF(H7&gt;=75,"Hoàn thành tốt",IF(H7&gt;=60,"Hoàn thành","Không hoàn thành")))</f>
        <v>Hoàn thành</v>
      </c>
    </row>
    <row r="8" spans="1:9" x14ac:dyDescent="0.25">
      <c r="A8" s="6">
        <v>3</v>
      </c>
      <c r="B8" s="9" t="s">
        <v>26</v>
      </c>
      <c r="C8" s="10">
        <v>90</v>
      </c>
      <c r="D8" s="10">
        <v>90</v>
      </c>
      <c r="E8" s="8">
        <f t="shared" si="0"/>
        <v>90</v>
      </c>
      <c r="F8" s="10">
        <v>0</v>
      </c>
      <c r="G8" s="10">
        <v>0</v>
      </c>
      <c r="H8" s="8">
        <f t="shared" si="1"/>
        <v>90</v>
      </c>
      <c r="I8" s="8" t="str">
        <f t="shared" si="2"/>
        <v>Hoàn thành tốt</v>
      </c>
    </row>
    <row r="9" spans="1:9" x14ac:dyDescent="0.25">
      <c r="A9" s="6">
        <v>4</v>
      </c>
      <c r="B9" s="9" t="s">
        <v>27</v>
      </c>
      <c r="C9" s="10">
        <v>80</v>
      </c>
      <c r="D9" s="10">
        <v>80</v>
      </c>
      <c r="E9" s="8">
        <f t="shared" si="0"/>
        <v>80</v>
      </c>
      <c r="F9" s="10">
        <v>0</v>
      </c>
      <c r="G9" s="10">
        <v>0</v>
      </c>
      <c r="H9" s="8">
        <f t="shared" si="1"/>
        <v>80</v>
      </c>
      <c r="I9" s="8" t="str">
        <f t="shared" si="2"/>
        <v>Hoàn thành tốt</v>
      </c>
    </row>
    <row r="10" spans="1:9" x14ac:dyDescent="0.25">
      <c r="A10" s="6">
        <v>5</v>
      </c>
      <c r="B10" s="9" t="s">
        <v>28</v>
      </c>
      <c r="C10" s="10">
        <v>70</v>
      </c>
      <c r="D10" s="10">
        <v>80</v>
      </c>
      <c r="E10" s="8">
        <f t="shared" si="0"/>
        <v>75</v>
      </c>
      <c r="F10" s="10">
        <v>0</v>
      </c>
      <c r="G10" s="10">
        <v>3</v>
      </c>
      <c r="H10" s="8">
        <f t="shared" si="1"/>
        <v>72</v>
      </c>
      <c r="I10" s="8" t="str">
        <f t="shared" si="2"/>
        <v>Hoàn thành</v>
      </c>
    </row>
    <row r="11" spans="5:9" x14ac:dyDescent="0.25">
      <c r="E11" s="15"/>
      <c r="I11" s="15"/>
    </row>
    <row r="12" spans="1:9" s="1" customFormat="1" x14ac:dyDescent="0.25">
      <c r="A12" s="3" t="s">
        <v>20</v>
      </c>
      <c r="B12" s="3"/>
      <c r="C12" s="3"/>
      <c r="E12" s="11"/>
      <c r="G12" s="3" t="s">
        <v>21</v>
      </c>
      <c r="H12" s="3"/>
      <c r="I12" s="3"/>
    </row>
    <row r="13" spans="5:9" s="1" customFormat="1" x14ac:dyDescent="0.25">
      <c r="E13" s="11"/>
      <c r="G13" s="12" t="s">
        <v>22</v>
      </c>
      <c r="H13" s="2"/>
      <c r="I13" s="2"/>
    </row>
    <row r="14" spans="5:9" x14ac:dyDescent="0.25">
      <c r="E14" s="15"/>
      <c r="I14" s="15"/>
    </row>
    <row r="15" spans="5:9" x14ac:dyDescent="0.25">
      <c r="E15" s="15"/>
      <c r="I15" s="15"/>
    </row>
    <row r="16" spans="5:5" x14ac:dyDescent="0.25">
      <c r="E16" s="15"/>
    </row>
    <row r="17" spans="5:5" x14ac:dyDescent="0.25">
      <c r="E17" s="15"/>
    </row>
  </sheetData>
  <mergeCells count="7">
    <mergeCell ref="A1:B1"/>
    <mergeCell ref="D1:I1"/>
    <mergeCell ref="A2:B2"/>
    <mergeCell ref="D2:I2"/>
    <mergeCell ref="A12:C12"/>
    <mergeCell ref="G12:I12"/>
    <mergeCell ref="G13:I13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7"/>
  <sheetViews>
    <sheetView workbookViewId="0" zoomScale="100" zoomScaleNormal="100">
      <selection activeCell="A12" sqref="A12"/>
    </sheetView>
  </sheetViews>
  <sheetFormatPr defaultRowHeight="18.75" outlineLevelRow="0" outlineLevelCol="0" x14ac:dyDescent="0.3" defaultColWidth="8.85546875" customHeight="1"/>
  <cols>
    <col min="1" max="1" width="8.85546875" style="13" customWidth="1"/>
    <col min="2" max="2" width="23.42578125" style="13" customWidth="1"/>
    <col min="3" max="3" width="12" style="13" customWidth="1"/>
    <col min="4" max="5" width="8.85546875" style="13" customWidth="1"/>
    <col min="6" max="6" width="23.7109375" style="13" customWidth="1"/>
    <col min="7" max="7" width="14.28515625" style="13" customWidth="1"/>
    <col min="8" max="8" width="17.140625" style="13" customWidth="1"/>
    <col min="9" max="9" width="20.5703125" style="13" customWidth="1"/>
    <col min="10" max="16384" width="8.85546875" style="13" customWidth="1"/>
  </cols>
  <sheetData>
    <row r="1" spans="1:9" x14ac:dyDescent="0.25">
      <c r="A1" s="2" t="s">
        <v>0</v>
      </c>
      <c r="B1" s="2"/>
      <c r="C1" s="1"/>
      <c r="D1" s="3" t="s">
        <v>1</v>
      </c>
      <c r="E1" s="3"/>
      <c r="F1" s="3"/>
      <c r="G1" s="3"/>
      <c r="H1" s="3"/>
      <c r="I1" s="3"/>
    </row>
    <row r="2" spans="1:9" x14ac:dyDescent="0.25">
      <c r="A2" s="3" t="s">
        <v>2</v>
      </c>
      <c r="B2" s="3"/>
      <c r="C2" s="1"/>
      <c r="D2" s="3" t="s">
        <v>23</v>
      </c>
      <c r="E2" s="3"/>
      <c r="F2" s="3"/>
      <c r="G2" s="3"/>
      <c r="H2" s="3"/>
      <c r="I2" s="3"/>
    </row>
    <row r="3" spans="1:9" x14ac:dyDescent="0.25">
      <c r="A3" s="1"/>
      <c r="B3" s="1"/>
      <c r="C3" s="1"/>
      <c r="D3" s="1"/>
      <c r="E3" s="1"/>
      <c r="F3" s="1"/>
      <c r="G3" s="1"/>
      <c r="H3" s="1"/>
      <c r="I3" s="1"/>
    </row>
    <row r="4" spans="1:9" x14ac:dyDescent="0.25">
      <c r="A4" s="1"/>
      <c r="B4" s="1"/>
      <c r="C4" s="1"/>
      <c r="D4" s="1"/>
      <c r="E4" s="1"/>
      <c r="F4" s="1"/>
      <c r="G4" s="1"/>
      <c r="H4" s="1"/>
      <c r="I4" s="1"/>
    </row>
    <row r="5" ht="75" customHeight="1" spans="1:9" x14ac:dyDescent="0.25">
      <c r="A5" s="4" t="s">
        <v>4</v>
      </c>
      <c r="B5" s="5" t="s">
        <v>5</v>
      </c>
      <c r="C5" s="5" t="s">
        <v>6</v>
      </c>
      <c r="D5" s="5" t="s">
        <v>7</v>
      </c>
      <c r="E5" s="5" t="s">
        <v>8</v>
      </c>
      <c r="F5" s="5" t="s">
        <v>9</v>
      </c>
      <c r="G5" s="5" t="s">
        <v>10</v>
      </c>
      <c r="H5" s="5" t="s">
        <v>11</v>
      </c>
      <c r="I5" s="5" t="s">
        <v>12</v>
      </c>
    </row>
    <row r="6" ht="37.5" customHeight="1" spans="1:9" x14ac:dyDescent="0.25">
      <c r="A6" s="6">
        <v>1</v>
      </c>
      <c r="B6" s="7" t="s">
        <v>24</v>
      </c>
      <c r="C6" s="8">
        <v>90</v>
      </c>
      <c r="D6" s="8">
        <v>90</v>
      </c>
      <c r="E6" s="8">
        <f>AVERAGE(C6:D6)</f>
        <v>90</v>
      </c>
      <c r="F6" s="8">
        <v>5</v>
      </c>
      <c r="G6" s="8">
        <v>3</v>
      </c>
      <c r="H6" s="8">
        <f>ROUND(E6 +F6 - G6,2)</f>
        <v>92</v>
      </c>
      <c r="I6" s="8" t="str">
        <f>IF(H6&gt;90,"Hoàn thành xuất sắc",IF(H6&gt;=75,"Hoàn thành tốt",IF(H6&gt;=60,"Hoàn thành","Không hoàn thành")))</f>
        <v>Hoàn thành xuất sắc</v>
      </c>
    </row>
    <row r="7" spans="1:9" x14ac:dyDescent="0.25">
      <c r="A7" s="6">
        <v>2</v>
      </c>
      <c r="B7" s="7" t="s">
        <v>25</v>
      </c>
      <c r="C7" s="8">
        <v>40</v>
      </c>
      <c r="D7" s="8">
        <v>80</v>
      </c>
      <c r="E7" s="8">
        <f t="shared" ref="E7:E10" si="0">AVERAGE(C7:D7)</f>
        <v>60</v>
      </c>
      <c r="F7" s="8">
        <v>3</v>
      </c>
      <c r="G7" s="8">
        <v>3</v>
      </c>
      <c r="H7" s="8">
        <f t="shared" ref="H7:H10" si="1">ROUND(E7 +F7 - G7,2)</f>
        <v>60</v>
      </c>
      <c r="I7" s="8" t="str">
        <f t="shared" ref="I7:I10" si="2">IF(H7&gt;90,"Hoàn thành xuất sắc",IF(H7&gt;=75,"Hoàn thành tốt",IF(H7&gt;=60,"Hoàn thành","Không hoàn thành")))</f>
        <v>Hoàn thành</v>
      </c>
    </row>
    <row r="8" spans="1:9" x14ac:dyDescent="0.25">
      <c r="A8" s="6">
        <v>3</v>
      </c>
      <c r="B8" s="9" t="s">
        <v>26</v>
      </c>
      <c r="C8" s="10">
        <v>90</v>
      </c>
      <c r="D8" s="10">
        <v>90</v>
      </c>
      <c r="E8" s="8">
        <f t="shared" si="0"/>
        <v>90</v>
      </c>
      <c r="F8" s="10">
        <v>0</v>
      </c>
      <c r="G8" s="10">
        <v>0</v>
      </c>
      <c r="H8" s="8">
        <f t="shared" si="1"/>
        <v>90</v>
      </c>
      <c r="I8" s="8" t="str">
        <f t="shared" si="2"/>
        <v>Hoàn thành tốt</v>
      </c>
    </row>
    <row r="9" spans="1:9" x14ac:dyDescent="0.25">
      <c r="A9" s="6">
        <v>4</v>
      </c>
      <c r="B9" s="9" t="s">
        <v>27</v>
      </c>
      <c r="C9" s="10">
        <v>80</v>
      </c>
      <c r="D9" s="10">
        <v>80</v>
      </c>
      <c r="E9" s="8">
        <f t="shared" si="0"/>
        <v>80</v>
      </c>
      <c r="F9" s="10">
        <v>0</v>
      </c>
      <c r="G9" s="10">
        <v>0</v>
      </c>
      <c r="H9" s="8">
        <f t="shared" si="1"/>
        <v>80</v>
      </c>
      <c r="I9" s="8" t="str">
        <f t="shared" si="2"/>
        <v>Hoàn thành tốt</v>
      </c>
    </row>
    <row r="10" spans="1:9" x14ac:dyDescent="0.25">
      <c r="A10" s="6">
        <v>5</v>
      </c>
      <c r="B10" s="9" t="s">
        <v>28</v>
      </c>
      <c r="C10" s="10">
        <v>70</v>
      </c>
      <c r="D10" s="10">
        <v>80</v>
      </c>
      <c r="E10" s="8">
        <f t="shared" si="0"/>
        <v>75</v>
      </c>
      <c r="F10" s="10">
        <v>0</v>
      </c>
      <c r="G10" s="10">
        <v>3</v>
      </c>
      <c r="H10" s="8">
        <f t="shared" si="1"/>
        <v>72</v>
      </c>
      <c r="I10" s="8" t="str">
        <f t="shared" si="2"/>
        <v>Hoàn thành</v>
      </c>
    </row>
    <row r="11" spans="5:9" x14ac:dyDescent="0.25">
      <c r="E11" s="15"/>
      <c r="I11" s="15"/>
    </row>
    <row r="12" spans="1:9" s="1" customFormat="1" x14ac:dyDescent="0.25">
      <c r="A12" s="3" t="s">
        <v>20</v>
      </c>
      <c r="B12" s="3"/>
      <c r="C12" s="3"/>
      <c r="E12" s="11"/>
      <c r="G12" s="3" t="s">
        <v>21</v>
      </c>
      <c r="H12" s="3"/>
      <c r="I12" s="3"/>
    </row>
    <row r="13" spans="5:9" s="1" customFormat="1" x14ac:dyDescent="0.25">
      <c r="E13" s="11"/>
      <c r="G13" s="12" t="s">
        <v>22</v>
      </c>
      <c r="H13" s="2"/>
      <c r="I13" s="2"/>
    </row>
    <row r="14" spans="5:9" x14ac:dyDescent="0.25">
      <c r="E14" s="15"/>
      <c r="I14" s="15"/>
    </row>
    <row r="15" spans="5:9" x14ac:dyDescent="0.25">
      <c r="E15" s="15"/>
      <c r="I15" s="15"/>
    </row>
    <row r="16" spans="5:5" x14ac:dyDescent="0.25">
      <c r="E16" s="15"/>
    </row>
    <row r="17" spans="5:5" x14ac:dyDescent="0.25">
      <c r="E17" s="15"/>
    </row>
  </sheetData>
  <mergeCells count="7">
    <mergeCell ref="A1:B1"/>
    <mergeCell ref="D1:I1"/>
    <mergeCell ref="A2:B2"/>
    <mergeCell ref="D2:I2"/>
    <mergeCell ref="A12:C12"/>
    <mergeCell ref="G12:I12"/>
    <mergeCell ref="G13:I13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7"/>
  <sheetViews>
    <sheetView workbookViewId="0" zoomScale="100" zoomScaleNormal="100">
      <selection activeCell="B16" sqref="B16"/>
    </sheetView>
  </sheetViews>
  <sheetFormatPr defaultRowHeight="18.75" outlineLevelRow="0" outlineLevelCol="0" x14ac:dyDescent="0.3" defaultColWidth="8.85546875" customHeight="1"/>
  <cols>
    <col min="1" max="1" width="8.85546875" style="13" customWidth="1"/>
    <col min="2" max="2" width="23.42578125" style="13" customWidth="1"/>
    <col min="3" max="3" width="12" style="13" customWidth="1"/>
    <col min="4" max="5" width="8.85546875" style="13" customWidth="1"/>
    <col min="6" max="6" width="23.7109375" style="13" customWidth="1"/>
    <col min="7" max="7" width="14.28515625" style="13" customWidth="1"/>
    <col min="8" max="8" width="17.140625" style="13" customWidth="1"/>
    <col min="9" max="9" width="20.5703125" style="13" customWidth="1"/>
    <col min="10" max="16384" width="8.85546875" style="13" customWidth="1"/>
  </cols>
  <sheetData>
    <row r="1" spans="1:9" x14ac:dyDescent="0.25">
      <c r="A1" s="2" t="s">
        <v>0</v>
      </c>
      <c r="B1" s="2"/>
      <c r="C1" s="1"/>
      <c r="D1" s="3" t="s">
        <v>1</v>
      </c>
      <c r="E1" s="3"/>
      <c r="F1" s="3"/>
      <c r="G1" s="3"/>
      <c r="H1" s="3"/>
      <c r="I1" s="3"/>
    </row>
    <row r="2" spans="1:9" x14ac:dyDescent="0.25">
      <c r="A2" s="3" t="s">
        <v>2</v>
      </c>
      <c r="B2" s="3"/>
      <c r="C2" s="1"/>
      <c r="D2" s="3" t="s">
        <v>23</v>
      </c>
      <c r="E2" s="3"/>
      <c r="F2" s="3"/>
      <c r="G2" s="3"/>
      <c r="H2" s="3"/>
      <c r="I2" s="3"/>
    </row>
    <row r="3" spans="1:9" x14ac:dyDescent="0.25">
      <c r="A3" s="1"/>
      <c r="B3" s="1"/>
      <c r="C3" s="1"/>
      <c r="D3" s="1"/>
      <c r="E3" s="1"/>
      <c r="F3" s="1"/>
      <c r="G3" s="1"/>
      <c r="H3" s="1"/>
      <c r="I3" s="1"/>
    </row>
    <row r="4" spans="1:9" x14ac:dyDescent="0.25">
      <c r="A4" s="1"/>
      <c r="B4" s="1"/>
      <c r="C4" s="1"/>
      <c r="D4" s="1"/>
      <c r="E4" s="1"/>
      <c r="F4" s="1"/>
      <c r="G4" s="1"/>
      <c r="H4" s="1"/>
      <c r="I4" s="1"/>
    </row>
    <row r="5" ht="75" customHeight="1" spans="1:9" x14ac:dyDescent="0.25">
      <c r="A5" s="4" t="s">
        <v>4</v>
      </c>
      <c r="B5" s="5" t="s">
        <v>5</v>
      </c>
      <c r="C5" s="5" t="s">
        <v>6</v>
      </c>
      <c r="D5" s="5" t="s">
        <v>7</v>
      </c>
      <c r="E5" s="5" t="s">
        <v>8</v>
      </c>
      <c r="F5" s="5" t="s">
        <v>9</v>
      </c>
      <c r="G5" s="5" t="s">
        <v>10</v>
      </c>
      <c r="H5" s="5" t="s">
        <v>11</v>
      </c>
      <c r="I5" s="5" t="s">
        <v>12</v>
      </c>
    </row>
    <row r="6" ht="37.5" customHeight="1" spans="1:9" x14ac:dyDescent="0.25">
      <c r="A6" s="6">
        <v>1</v>
      </c>
      <c r="B6" s="7" t="s">
        <v>24</v>
      </c>
      <c r="C6" s="8">
        <v>90</v>
      </c>
      <c r="D6" s="8">
        <v>90</v>
      </c>
      <c r="E6" s="8">
        <f>AVERAGE(C6:D6)</f>
        <v>90</v>
      </c>
      <c r="F6" s="8">
        <v>5</v>
      </c>
      <c r="G6" s="8">
        <v>3</v>
      </c>
      <c r="H6" s="8">
        <f>ROUND(E6 +F6 - G6,2)</f>
        <v>92</v>
      </c>
      <c r="I6" s="8" t="str">
        <f>IF(H6&gt;90,"Hoàn thành xuất sắc",IF(H6&gt;=75,"Hoàn thành tốt",IF(H6&gt;=60,"Hoàn thành","Không hoàn thành")))</f>
        <v>Hoàn thành xuất sắc</v>
      </c>
    </row>
    <row r="7" spans="1:9" x14ac:dyDescent="0.25">
      <c r="A7" s="6">
        <v>2</v>
      </c>
      <c r="B7" s="7" t="s">
        <v>25</v>
      </c>
      <c r="C7" s="8">
        <v>40</v>
      </c>
      <c r="D7" s="8">
        <v>80</v>
      </c>
      <c r="E7" s="8">
        <f t="shared" ref="E7:E10" si="0">AVERAGE(C7:D7)</f>
        <v>60</v>
      </c>
      <c r="F7" s="8">
        <v>3</v>
      </c>
      <c r="G7" s="8">
        <v>3</v>
      </c>
      <c r="H7" s="8">
        <f t="shared" ref="H7:H10" si="1">ROUND(E7 +F7 - G7,2)</f>
        <v>60</v>
      </c>
      <c r="I7" s="8" t="str">
        <f t="shared" ref="I7:I10" si="2">IF(H7&gt;90,"Hoàn thành xuất sắc",IF(H7&gt;=75,"Hoàn thành tốt",IF(H7&gt;=60,"Hoàn thành","Không hoàn thành")))</f>
        <v>Hoàn thành</v>
      </c>
    </row>
    <row r="8" spans="1:9" x14ac:dyDescent="0.25">
      <c r="A8" s="6">
        <v>3</v>
      </c>
      <c r="B8" s="9" t="s">
        <v>26</v>
      </c>
      <c r="C8" s="10">
        <v>90</v>
      </c>
      <c r="D8" s="10">
        <v>90</v>
      </c>
      <c r="E8" s="8">
        <f t="shared" si="0"/>
        <v>90</v>
      </c>
      <c r="F8" s="10">
        <v>0</v>
      </c>
      <c r="G8" s="10">
        <v>0</v>
      </c>
      <c r="H8" s="8">
        <f t="shared" si="1"/>
        <v>90</v>
      </c>
      <c r="I8" s="8" t="str">
        <f t="shared" si="2"/>
        <v>Hoàn thành tốt</v>
      </c>
    </row>
    <row r="9" spans="1:9" x14ac:dyDescent="0.25">
      <c r="A9" s="6">
        <v>4</v>
      </c>
      <c r="B9" s="9" t="s">
        <v>27</v>
      </c>
      <c r="C9" s="10">
        <v>80</v>
      </c>
      <c r="D9" s="10">
        <v>80</v>
      </c>
      <c r="E9" s="8">
        <f t="shared" si="0"/>
        <v>80</v>
      </c>
      <c r="F9" s="10">
        <v>0</v>
      </c>
      <c r="G9" s="10">
        <v>0</v>
      </c>
      <c r="H9" s="8">
        <f t="shared" si="1"/>
        <v>80</v>
      </c>
      <c r="I9" s="8" t="str">
        <f t="shared" si="2"/>
        <v>Hoàn thành tốt</v>
      </c>
    </row>
    <row r="10" spans="1:9" x14ac:dyDescent="0.25">
      <c r="A10" s="6">
        <v>5</v>
      </c>
      <c r="B10" s="9" t="s">
        <v>28</v>
      </c>
      <c r="C10" s="10">
        <v>70</v>
      </c>
      <c r="D10" s="10">
        <v>80</v>
      </c>
      <c r="E10" s="8">
        <f t="shared" si="0"/>
        <v>75</v>
      </c>
      <c r="F10" s="10">
        <v>0</v>
      </c>
      <c r="G10" s="10">
        <v>3</v>
      </c>
      <c r="H10" s="8">
        <f t="shared" si="1"/>
        <v>72</v>
      </c>
      <c r="I10" s="8" t="str">
        <f t="shared" si="2"/>
        <v>Hoàn thành</v>
      </c>
    </row>
    <row r="11" spans="5:9" x14ac:dyDescent="0.25">
      <c r="E11" s="15"/>
      <c r="I11" s="15"/>
    </row>
    <row r="12" spans="1:9" s="1" customFormat="1" x14ac:dyDescent="0.25">
      <c r="A12" s="3" t="s">
        <v>20</v>
      </c>
      <c r="B12" s="3"/>
      <c r="C12" s="3"/>
      <c r="E12" s="11"/>
      <c r="G12" s="3" t="s">
        <v>21</v>
      </c>
      <c r="H12" s="3"/>
      <c r="I12" s="3"/>
    </row>
    <row r="13" spans="5:9" s="1" customFormat="1" x14ac:dyDescent="0.25">
      <c r="E13" s="11"/>
      <c r="G13" s="12" t="s">
        <v>22</v>
      </c>
      <c r="H13" s="2"/>
      <c r="I13" s="2"/>
    </row>
    <row r="14" spans="5:9" x14ac:dyDescent="0.25">
      <c r="E14" s="15"/>
      <c r="I14" s="15"/>
    </row>
    <row r="15" spans="5:9" x14ac:dyDescent="0.25">
      <c r="E15" s="15"/>
      <c r="I15" s="15"/>
    </row>
    <row r="16" spans="5:5" x14ac:dyDescent="0.25">
      <c r="E16" s="15"/>
    </row>
    <row r="17" spans="5:5" x14ac:dyDescent="0.25">
      <c r="E17" s="15"/>
    </row>
  </sheetData>
  <mergeCells count="7">
    <mergeCell ref="A1:B1"/>
    <mergeCell ref="D1:I1"/>
    <mergeCell ref="A2:B2"/>
    <mergeCell ref="D2:I2"/>
    <mergeCell ref="A12:C12"/>
    <mergeCell ref="G12:I12"/>
    <mergeCell ref="G13:I13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7"/>
  <sheetViews>
    <sheetView workbookViewId="0" zoomScale="70" zoomScaleNormal="70">
      <selection activeCell="E11" sqref="E11"/>
    </sheetView>
  </sheetViews>
  <sheetFormatPr defaultRowHeight="18.75" outlineLevelRow="0" outlineLevelCol="0" x14ac:dyDescent="0.3" defaultColWidth="8.85546875" customHeight="1"/>
  <cols>
    <col min="1" max="1" width="8.85546875" style="13" customWidth="1"/>
    <col min="2" max="2" width="23.42578125" style="13" customWidth="1"/>
    <col min="3" max="3" width="12" style="13" customWidth="1"/>
    <col min="4" max="5" width="8.85546875" style="13" customWidth="1"/>
    <col min="6" max="6" width="23.7109375" style="13" customWidth="1"/>
    <col min="7" max="7" width="14.28515625" style="13" customWidth="1"/>
    <col min="8" max="8" width="17.140625" style="13" customWidth="1"/>
    <col min="9" max="9" width="20.5703125" style="13" customWidth="1"/>
    <col min="10" max="16384" width="8.85546875" style="13" customWidth="1"/>
  </cols>
  <sheetData>
    <row r="1" spans="1:9" x14ac:dyDescent="0.25">
      <c r="A1" s="2" t="s">
        <v>0</v>
      </c>
      <c r="B1" s="2"/>
      <c r="C1" s="1"/>
      <c r="D1" s="3" t="s">
        <v>1</v>
      </c>
      <c r="E1" s="3"/>
      <c r="F1" s="3"/>
      <c r="G1" s="3"/>
      <c r="H1" s="3"/>
      <c r="I1" s="3"/>
    </row>
    <row r="2" spans="1:9" x14ac:dyDescent="0.25">
      <c r="A2" s="3" t="s">
        <v>2</v>
      </c>
      <c r="B2" s="3"/>
      <c r="C2" s="1"/>
      <c r="D2" s="3" t="s">
        <v>23</v>
      </c>
      <c r="E2" s="3"/>
      <c r="F2" s="3"/>
      <c r="G2" s="3"/>
      <c r="H2" s="3"/>
      <c r="I2" s="3"/>
    </row>
    <row r="3" spans="1:9" x14ac:dyDescent="0.25">
      <c r="A3" s="1"/>
      <c r="B3" s="1"/>
      <c r="C3" s="1"/>
      <c r="D3" s="1"/>
      <c r="E3" s="1"/>
      <c r="F3" s="1"/>
      <c r="G3" s="1"/>
      <c r="H3" s="1"/>
      <c r="I3" s="1"/>
    </row>
    <row r="4" spans="1:9" x14ac:dyDescent="0.25">
      <c r="A4" s="1"/>
      <c r="B4" s="1"/>
      <c r="C4" s="1"/>
      <c r="D4" s="1"/>
      <c r="E4" s="1"/>
      <c r="F4" s="1"/>
      <c r="G4" s="1"/>
      <c r="H4" s="1"/>
      <c r="I4" s="1"/>
    </row>
    <row r="5" ht="75" customHeight="1" spans="1:9" x14ac:dyDescent="0.25">
      <c r="A5" s="4" t="s">
        <v>4</v>
      </c>
      <c r="B5" s="5" t="s">
        <v>5</v>
      </c>
      <c r="C5" s="5" t="s">
        <v>6</v>
      </c>
      <c r="D5" s="5" t="s">
        <v>7</v>
      </c>
      <c r="E5" s="5" t="s">
        <v>8</v>
      </c>
      <c r="F5" s="5" t="s">
        <v>9</v>
      </c>
      <c r="G5" s="5" t="s">
        <v>10</v>
      </c>
      <c r="H5" s="5" t="s">
        <v>11</v>
      </c>
      <c r="I5" s="5" t="s">
        <v>12</v>
      </c>
    </row>
    <row r="6" ht="37.5" customHeight="1" spans="1:9" x14ac:dyDescent="0.25">
      <c r="A6" s="6">
        <v>1</v>
      </c>
      <c r="B6" s="7" t="s">
        <v>24</v>
      </c>
      <c r="C6" s="8">
        <v>90</v>
      </c>
      <c r="D6" s="8">
        <v>90</v>
      </c>
      <c r="E6" s="8">
        <f>AVERAGE(C6:D6)</f>
        <v>90</v>
      </c>
      <c r="F6" s="8">
        <v>5</v>
      </c>
      <c r="G6" s="8">
        <v>3</v>
      </c>
      <c r="H6" s="8">
        <f>ROUND(E6 +F6 - G6,2)</f>
        <v>92</v>
      </c>
      <c r="I6" s="8" t="str">
        <f>IF(H6&gt;90,"Hoàn thành xuất sắc",IF(H6&gt;=75,"Hoàn thành tốt",IF(H6&gt;=60,"Hoàn thành","Không hoàn thành")))</f>
        <v>Hoàn thành xuất sắc</v>
      </c>
    </row>
    <row r="7" spans="1:9" x14ac:dyDescent="0.25">
      <c r="A7" s="6">
        <v>2</v>
      </c>
      <c r="B7" s="7" t="s">
        <v>25</v>
      </c>
      <c r="C7" s="8">
        <v>40</v>
      </c>
      <c r="D7" s="8">
        <v>80</v>
      </c>
      <c r="E7" s="8">
        <f t="shared" ref="E7:E10" si="0">AVERAGE(C7:D7)</f>
        <v>60</v>
      </c>
      <c r="F7" s="8">
        <v>3</v>
      </c>
      <c r="G7" s="8">
        <v>3</v>
      </c>
      <c r="H7" s="8">
        <f t="shared" ref="H7:H10" si="1">ROUND(E7 +F7 - G7,2)</f>
        <v>60</v>
      </c>
      <c r="I7" s="8" t="str">
        <f t="shared" ref="I7:I10" si="2">IF(H7&gt;90,"Hoàn thành xuất sắc",IF(H7&gt;=75,"Hoàn thành tốt",IF(H7&gt;=60,"Hoàn thành","Không hoàn thành")))</f>
        <v>Hoàn thành</v>
      </c>
    </row>
    <row r="8" spans="1:9" x14ac:dyDescent="0.25">
      <c r="A8" s="6">
        <v>3</v>
      </c>
      <c r="B8" s="9" t="s">
        <v>26</v>
      </c>
      <c r="C8" s="10">
        <v>90</v>
      </c>
      <c r="D8" s="10">
        <v>90</v>
      </c>
      <c r="E8" s="8">
        <f t="shared" si="0"/>
        <v>90</v>
      </c>
      <c r="F8" s="10">
        <v>0</v>
      </c>
      <c r="G8" s="10">
        <v>0</v>
      </c>
      <c r="H8" s="8">
        <f t="shared" si="1"/>
        <v>90</v>
      </c>
      <c r="I8" s="8" t="str">
        <f t="shared" si="2"/>
        <v>Hoàn thành tốt</v>
      </c>
    </row>
    <row r="9" spans="1:9" x14ac:dyDescent="0.25">
      <c r="A9" s="6">
        <v>4</v>
      </c>
      <c r="B9" s="9" t="s">
        <v>27</v>
      </c>
      <c r="C9" s="10">
        <v>80</v>
      </c>
      <c r="D9" s="10">
        <v>80</v>
      </c>
      <c r="E9" s="8">
        <f t="shared" si="0"/>
        <v>80</v>
      </c>
      <c r="F9" s="10">
        <v>0</v>
      </c>
      <c r="G9" s="10">
        <v>0</v>
      </c>
      <c r="H9" s="8">
        <f t="shared" si="1"/>
        <v>80</v>
      </c>
      <c r="I9" s="8" t="str">
        <f t="shared" si="2"/>
        <v>Hoàn thành tốt</v>
      </c>
    </row>
    <row r="10" spans="1:9" x14ac:dyDescent="0.25">
      <c r="A10" s="6">
        <v>5</v>
      </c>
      <c r="B10" s="9" t="s">
        <v>28</v>
      </c>
      <c r="C10" s="10">
        <v>70</v>
      </c>
      <c r="D10" s="10">
        <v>80</v>
      </c>
      <c r="E10" s="8">
        <v>90</v>
      </c>
      <c r="F10" s="10">
        <v>0</v>
      </c>
      <c r="G10" s="10">
        <v>3</v>
      </c>
      <c r="H10" s="8">
        <f t="shared" si="1"/>
        <v>87</v>
      </c>
      <c r="I10" s="8" t="str">
        <f t="shared" si="2"/>
        <v>Hoàn thành tốt</v>
      </c>
    </row>
    <row r="11" spans="5:9" x14ac:dyDescent="0.25">
      <c r="E11" s="15"/>
      <c r="I11" s="15"/>
    </row>
    <row r="12" spans="1:9" s="1" customFormat="1" x14ac:dyDescent="0.25">
      <c r="A12" s="3" t="s">
        <v>20</v>
      </c>
      <c r="B12" s="3"/>
      <c r="C12" s="3"/>
      <c r="E12" s="11"/>
      <c r="G12" s="3" t="s">
        <v>21</v>
      </c>
      <c r="H12" s="3"/>
      <c r="I12" s="3"/>
    </row>
    <row r="13" spans="5:9" s="1" customFormat="1" x14ac:dyDescent="0.25">
      <c r="E13" s="11"/>
      <c r="G13" s="12" t="s">
        <v>22</v>
      </c>
      <c r="H13" s="2"/>
      <c r="I13" s="2"/>
    </row>
    <row r="14" spans="5:9" x14ac:dyDescent="0.25">
      <c r="E14" s="15"/>
      <c r="I14" s="15"/>
    </row>
    <row r="15" spans="5:9" x14ac:dyDescent="0.25">
      <c r="E15" s="15"/>
      <c r="I15" s="15"/>
    </row>
    <row r="16" spans="5:5" x14ac:dyDescent="0.25">
      <c r="E16" s="15"/>
    </row>
    <row r="17" spans="5:5" x14ac:dyDescent="0.25">
      <c r="E17" s="15"/>
    </row>
  </sheetData>
  <mergeCells count="7">
    <mergeCell ref="A1:B1"/>
    <mergeCell ref="D1:I1"/>
    <mergeCell ref="A2:B2"/>
    <mergeCell ref="D2:I2"/>
    <mergeCell ref="A12:C12"/>
    <mergeCell ref="G12:I12"/>
    <mergeCell ref="G13:I1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KPI_Thang1</vt:lpstr>
      <vt:lpstr>KPI_Thang2</vt:lpstr>
      <vt:lpstr>KPI_Thang3</vt:lpstr>
      <vt:lpstr>KPI_Thang4</vt:lpstr>
      <vt:lpstr>KPI_Thang5</vt:lpstr>
      <vt:lpstr>KPI_Thang6</vt:lpstr>
      <vt:lpstr>KPI_Thang7</vt:lpstr>
      <vt:lpstr>KPI_Thang8</vt:lpstr>
      <vt:lpstr>KPI_Thang9</vt:lpstr>
      <vt:lpstr>KPI_Thang10</vt:lpstr>
      <vt:lpstr>KPI_Thang11</vt:lpstr>
      <vt:lpstr>KPI_Thang12</vt:lpstr>
      <vt:lpstr>năm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nguyen cam</dc:creator>
  <cp:lastModifiedBy>PC-D1</cp:lastModifiedBy>
  <cp:lastPrinted>2025-09-18T01:50:34Z</cp:lastPrinted>
  <dcterms:created xsi:type="dcterms:W3CDTF">2015-06-05T18:17:20Z</dcterms:created>
  <dcterms:modified xsi:type="dcterms:W3CDTF">2025-10-13T01:41:37Z</dcterms:modified>
</cp:coreProperties>
</file>